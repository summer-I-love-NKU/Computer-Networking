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25EBD2BA-B17A-4399-9A49-1CE461E905B3}" xr6:coauthVersionLast="45" xr6:coauthVersionMax="45" xr10:uidLastSave="{00000000-0000-0000-0000-000000000000}"/>
  <bookViews>
    <workbookView xWindow="-120" yWindow="-120" windowWidth="20730" windowHeight="11160" firstSheet="5" activeTab="9" xr2:uid="{6B48E8FD-11D4-4D06-9228-62B25C90AE7B}"/>
  </bookViews>
  <sheets>
    <sheet name="Sheet2 (5)" sheetId="15" r:id="rId1"/>
    <sheet name="Sheet2 (4)" sheetId="14" r:id="rId2"/>
    <sheet name="Sheet2 (3)" sheetId="13" r:id="rId3"/>
    <sheet name="Sheet2 (2)" sheetId="9" r:id="rId4"/>
    <sheet name="Sheet2" sheetId="2" r:id="rId5"/>
    <sheet name="001 (4)" sheetId="8" r:id="rId6"/>
    <sheet name="001 (2)" sheetId="5" r:id="rId7"/>
    <sheet name="001 (3)" sheetId="7" r:id="rId8"/>
    <sheet name="001" sheetId="1" r:id="rId9"/>
    <sheet name="Sheet3" sheetId="3" r:id="rId10"/>
    <sheet name="Sheet3 (2)" sheetId="16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3" l="1"/>
  <c r="B16" i="3"/>
  <c r="B17" i="3"/>
  <c r="B18" i="3"/>
  <c r="B19" i="3"/>
  <c r="B20" i="3"/>
  <c r="B21" i="3"/>
  <c r="B22" i="3"/>
  <c r="B14" i="3"/>
  <c r="A15" i="3"/>
  <c r="A16" i="3"/>
  <c r="A17" i="3"/>
  <c r="A18" i="3"/>
  <c r="A19" i="3"/>
  <c r="A20" i="3"/>
  <c r="A21" i="3"/>
  <c r="A22" i="3"/>
  <c r="A23" i="3"/>
  <c r="A24" i="3"/>
  <c r="A14" i="3"/>
  <c r="D19" i="3"/>
  <c r="D20" i="3"/>
  <c r="D21" i="3"/>
  <c r="D22" i="3"/>
  <c r="D23" i="3"/>
  <c r="D24" i="3"/>
  <c r="D25" i="3"/>
  <c r="D26" i="3"/>
  <c r="D27" i="3"/>
  <c r="D28" i="3"/>
  <c r="D29" i="3"/>
  <c r="D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18" i="3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21" i="14"/>
  <c r="C50" i="14"/>
  <c r="C51" i="14"/>
  <c r="C52" i="14"/>
  <c r="C53" i="14"/>
  <c r="C54" i="14"/>
  <c r="C55" i="14"/>
  <c r="D39" i="15"/>
  <c r="D40" i="15"/>
  <c r="D41" i="15"/>
  <c r="D42" i="15"/>
  <c r="D43" i="15"/>
  <c r="D44" i="15"/>
  <c r="D45" i="15"/>
  <c r="D46" i="15"/>
  <c r="D47" i="15"/>
  <c r="D48" i="15"/>
  <c r="D38" i="15"/>
  <c r="I39" i="15"/>
  <c r="H39" i="15"/>
  <c r="I38" i="15"/>
  <c r="H38" i="15"/>
  <c r="I37" i="15"/>
  <c r="H37" i="15"/>
  <c r="I36" i="15"/>
  <c r="H36" i="15"/>
  <c r="I35" i="15"/>
  <c r="H35" i="15"/>
  <c r="I34" i="15"/>
  <c r="H34" i="15"/>
  <c r="I33" i="15"/>
  <c r="H33" i="15"/>
  <c r="I32" i="15"/>
  <c r="H32" i="15"/>
  <c r="I31" i="15"/>
  <c r="H31" i="15"/>
  <c r="I30" i="15"/>
  <c r="H30" i="15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31" i="9"/>
  <c r="I32" i="9"/>
  <c r="I33" i="9"/>
  <c r="I34" i="9"/>
  <c r="I35" i="9"/>
  <c r="I36" i="9"/>
  <c r="I37" i="9"/>
  <c r="I38" i="9"/>
  <c r="I39" i="9"/>
  <c r="I30" i="9"/>
  <c r="H31" i="9"/>
  <c r="H32" i="9"/>
  <c r="H33" i="9"/>
  <c r="H34" i="9"/>
  <c r="H35" i="9"/>
  <c r="H36" i="9"/>
  <c r="H37" i="9"/>
  <c r="H38" i="9"/>
  <c r="H39" i="9"/>
  <c r="H30" i="9"/>
  <c r="J37" i="7" l="1"/>
  <c r="J38" i="7"/>
  <c r="J35" i="7"/>
  <c r="J36" i="7"/>
  <c r="J39" i="7"/>
  <c r="J34" i="7"/>
  <c r="J25" i="7"/>
  <c r="J26" i="7"/>
  <c r="J27" i="7"/>
  <c r="J28" i="7"/>
  <c r="J29" i="7"/>
  <c r="J24" i="7"/>
  <c r="J18" i="7"/>
  <c r="J19" i="7"/>
  <c r="J20" i="7"/>
  <c r="J21" i="7"/>
  <c r="J22" i="7"/>
  <c r="J17" i="7"/>
</calcChain>
</file>

<file path=xl/sharedStrings.xml><?xml version="1.0" encoding="utf-8"?>
<sst xmlns="http://schemas.openxmlformats.org/spreadsheetml/2006/main" count="181" uniqueCount="19">
  <si>
    <t>丢包率</t>
    <phoneticPr fontId="1" type="noConversion"/>
  </si>
  <si>
    <t>延时</t>
    <phoneticPr fontId="1" type="noConversion"/>
  </si>
  <si>
    <t>停等协议</t>
    <phoneticPr fontId="1" type="noConversion"/>
  </si>
  <si>
    <t>滑动窗口</t>
    <phoneticPr fontId="1" type="noConversion"/>
  </si>
  <si>
    <t xml:space="preserve"> </t>
    <phoneticPr fontId="1" type="noConversion"/>
  </si>
  <si>
    <t>·</t>
    <phoneticPr fontId="1" type="noConversion"/>
  </si>
  <si>
    <t>吞吐率（KB/s）</t>
    <phoneticPr fontId="1" type="noConversion"/>
  </si>
  <si>
    <t>时间(s)</t>
    <phoneticPr fontId="1" type="noConversion"/>
  </si>
  <si>
    <t>窗口大小</t>
    <phoneticPr fontId="1" type="noConversion"/>
  </si>
  <si>
    <t>平均值</t>
    <phoneticPr fontId="1" type="noConversion"/>
  </si>
  <si>
    <t>文件1</t>
    <phoneticPr fontId="1" type="noConversion"/>
  </si>
  <si>
    <t>MSS</t>
    <phoneticPr fontId="1" type="noConversion"/>
  </si>
  <si>
    <t>丢包率50%</t>
    <phoneticPr fontId="1" type="noConversion"/>
  </si>
  <si>
    <t>延时200超时时间500</t>
    <phoneticPr fontId="1" type="noConversion"/>
  </si>
  <si>
    <t>拥塞控制</t>
    <phoneticPr fontId="1" type="noConversion"/>
  </si>
  <si>
    <t>无拥塞控制</t>
    <phoneticPr fontId="1" type="noConversion"/>
  </si>
  <si>
    <t>丢包率30%</t>
    <phoneticPr fontId="1" type="noConversion"/>
  </si>
  <si>
    <t>30% 文件3</t>
    <phoneticPr fontId="1" type="noConversion"/>
  </si>
  <si>
    <t>时延(s)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</si>
</sst>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延迟时间</a:t>
            </a:r>
            <a:r>
              <a:rPr lang="en-US" altLang="zh-CN"/>
              <a:t>600ms</a:t>
            </a:r>
            <a:r>
              <a:rPr lang="zh-CN" altLang="en-US"/>
              <a:t>，丢包率</a:t>
            </a:r>
            <a:r>
              <a:rPr lang="en-US" altLang="zh-CN"/>
              <a:t>50%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(5)'!$E$4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(5)'!$C$5:$C$14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(5)'!$E$5:$E$14</c:f>
              <c:numCache>
                <c:formatCode>General</c:formatCode>
                <c:ptCount val="10"/>
                <c:pt idx="0">
                  <c:v>117.30769230769231</c:v>
                </c:pt>
                <c:pt idx="1">
                  <c:v>110.66153846153847</c:v>
                </c:pt>
                <c:pt idx="2">
                  <c:v>99.399999999999991</c:v>
                </c:pt>
                <c:pt idx="3">
                  <c:v>118.79230769230769</c:v>
                </c:pt>
                <c:pt idx="4">
                  <c:v>133.48461538461538</c:v>
                </c:pt>
                <c:pt idx="5">
                  <c:v>130.26153846153846</c:v>
                </c:pt>
                <c:pt idx="6">
                  <c:v>107.79230769230769</c:v>
                </c:pt>
                <c:pt idx="7">
                  <c:v>107.67692307692306</c:v>
                </c:pt>
                <c:pt idx="8">
                  <c:v>91.761538461538464</c:v>
                </c:pt>
                <c:pt idx="9">
                  <c:v>88.684615384615384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F-47A6-8AEF-99F63F932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6798176"/>
        <c:axId val="214406480"/>
      </c:barChart>
      <c:lineChart>
        <c:grouping val="standard"/>
        <c:varyColors val="0"/>
        <c:ser>
          <c:idx val="0"/>
          <c:order val="0"/>
          <c:tx>
            <c:strRef>
              <c:f>'Sheet2 (5)'!$D$4</c:f>
              <c:strCache>
                <c:ptCount val="1"/>
                <c:pt idx="0">
                  <c:v>时延(s)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(5)'!$C$5:$C$14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(5)'!$D$5:$D$14</c:f>
              <c:numCache>
                <c:formatCode>General</c:formatCode>
                <c:ptCount val="10"/>
                <c:pt idx="0">
                  <c:v>19.515600000000003</c:v>
                </c:pt>
                <c:pt idx="1">
                  <c:v>21.2316</c:v>
                </c:pt>
                <c:pt idx="2">
                  <c:v>23.4468</c:v>
                </c:pt>
                <c:pt idx="3">
                  <c:v>20.358000000000001</c:v>
                </c:pt>
                <c:pt idx="4">
                  <c:v>19.796399999999998</c:v>
                </c:pt>
                <c:pt idx="5">
                  <c:v>20.139600000000002</c:v>
                </c:pt>
                <c:pt idx="6">
                  <c:v>25.974</c:v>
                </c:pt>
                <c:pt idx="7">
                  <c:v>30.154799999999994</c:v>
                </c:pt>
                <c:pt idx="8">
                  <c:v>31.371600000000001</c:v>
                </c:pt>
                <c:pt idx="9">
                  <c:v>34.491599999999998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F-47A6-8AEF-99F63F932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81760"/>
        <c:axId val="371821024"/>
      </c:lineChart>
      <c:catAx>
        <c:axId val="32679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窗口大小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406480"/>
        <c:crosses val="autoZero"/>
        <c:auto val="1"/>
        <c:lblAlgn val="ctr"/>
        <c:lblOffset val="100"/>
        <c:noMultiLvlLbl val="0"/>
      </c:catAx>
      <c:valAx>
        <c:axId val="2144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</a:t>
                </a:r>
                <a:r>
                  <a:rPr lang="en-US" altLang="zh-CN"/>
                  <a:t>(KB/s)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6798176"/>
        <c:crosses val="autoZero"/>
        <c:crossBetween val="between"/>
      </c:valAx>
      <c:valAx>
        <c:axId val="371821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481760"/>
        <c:crosses val="max"/>
        <c:crossBetween val="between"/>
      </c:valAx>
      <c:catAx>
        <c:axId val="37648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82102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(5)'!$E$22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(5)'!$C$23:$C$32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(5)'!$E$23:$E$32</c:f>
              <c:numCache>
                <c:formatCode>General</c:formatCode>
                <c:ptCount val="10"/>
                <c:pt idx="0">
                  <c:v>117.30769230769231</c:v>
                </c:pt>
                <c:pt idx="1">
                  <c:v>110.66153846153847</c:v>
                </c:pt>
                <c:pt idx="2">
                  <c:v>99.399999999999991</c:v>
                </c:pt>
                <c:pt idx="3">
                  <c:v>118.79230769230769</c:v>
                </c:pt>
                <c:pt idx="4">
                  <c:v>133.48461538461538</c:v>
                </c:pt>
                <c:pt idx="5">
                  <c:v>130.26153846153846</c:v>
                </c:pt>
                <c:pt idx="6">
                  <c:v>107.79230769230769</c:v>
                </c:pt>
                <c:pt idx="7">
                  <c:v>107.67692307692306</c:v>
                </c:pt>
                <c:pt idx="8">
                  <c:v>91.761538461538464</c:v>
                </c:pt>
                <c:pt idx="9">
                  <c:v>88.684615384615384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2-48B1-B2DE-36260C011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163136"/>
        <c:axId val="374102080"/>
      </c:barChart>
      <c:lineChart>
        <c:grouping val="standard"/>
        <c:varyColors val="0"/>
        <c:ser>
          <c:idx val="0"/>
          <c:order val="0"/>
          <c:tx>
            <c:strRef>
              <c:f>'Sheet2 (5)'!$D$22</c:f>
              <c:strCache>
                <c:ptCount val="1"/>
                <c:pt idx="0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(5)'!$C$23:$C$32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(5)'!$D$23:$D$32</c:f>
              <c:numCache>
                <c:formatCode>General</c:formatCode>
                <c:ptCount val="10"/>
                <c:pt idx="0">
                  <c:v>16.263000000000002</c:v>
                </c:pt>
                <c:pt idx="1">
                  <c:v>17.693000000000001</c:v>
                </c:pt>
                <c:pt idx="2">
                  <c:v>19.539000000000001</c:v>
                </c:pt>
                <c:pt idx="3">
                  <c:v>16.965</c:v>
                </c:pt>
                <c:pt idx="4">
                  <c:v>16.497</c:v>
                </c:pt>
                <c:pt idx="5">
                  <c:v>16.783000000000001</c:v>
                </c:pt>
                <c:pt idx="6">
                  <c:v>21.645</c:v>
                </c:pt>
                <c:pt idx="7">
                  <c:v>25.128999999999998</c:v>
                </c:pt>
                <c:pt idx="8">
                  <c:v>26.143000000000001</c:v>
                </c:pt>
                <c:pt idx="9">
                  <c:v>28.742999999999999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2-48B1-B2DE-36260C011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46896"/>
        <c:axId val="214406896"/>
      </c:lineChart>
      <c:catAx>
        <c:axId val="3241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102080"/>
        <c:crosses val="autoZero"/>
        <c:auto val="1"/>
        <c:lblAlgn val="ctr"/>
        <c:lblOffset val="100"/>
        <c:noMultiLvlLbl val="0"/>
      </c:catAx>
      <c:valAx>
        <c:axId val="3741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163136"/>
        <c:crosses val="autoZero"/>
        <c:crossBetween val="between"/>
      </c:valAx>
      <c:valAx>
        <c:axId val="214406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046896"/>
        <c:crosses val="max"/>
        <c:crossBetween val="between"/>
      </c:valAx>
      <c:catAx>
        <c:axId val="381046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40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延迟时间</a:t>
            </a:r>
            <a:r>
              <a:rPr lang="en-US" altLang="zh-CN"/>
              <a:t>600ms</a:t>
            </a:r>
            <a:r>
              <a:rPr lang="zh-CN" altLang="en-US"/>
              <a:t>，丢包率</a:t>
            </a:r>
            <a:r>
              <a:rPr lang="en-US" altLang="zh-CN"/>
              <a:t>30%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(4)'!$E$4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(4)'!$C$5:$C$14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(4)'!$E$5:$E$14</c:f>
              <c:numCache>
                <c:formatCode>General</c:formatCode>
                <c:ptCount val="10"/>
                <c:pt idx="0">
                  <c:v>138.63636363636363</c:v>
                </c:pt>
                <c:pt idx="1">
                  <c:v>130.78181818181818</c:v>
                </c:pt>
                <c:pt idx="2">
                  <c:v>117.47272727272727</c:v>
                </c:pt>
                <c:pt idx="3">
                  <c:v>140.39090909090908</c:v>
                </c:pt>
                <c:pt idx="4">
                  <c:v>157.75454545454545</c:v>
                </c:pt>
                <c:pt idx="5">
                  <c:v>153.94545454545454</c:v>
                </c:pt>
                <c:pt idx="6">
                  <c:v>127.39090909090908</c:v>
                </c:pt>
                <c:pt idx="7">
                  <c:v>123.6181818181818</c:v>
                </c:pt>
                <c:pt idx="8">
                  <c:v>108.44545454545454</c:v>
                </c:pt>
                <c:pt idx="9">
                  <c:v>104.80909090909091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5-429B-AE71-24FD08D1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6798176"/>
        <c:axId val="214406480"/>
      </c:barChart>
      <c:lineChart>
        <c:grouping val="standard"/>
        <c:varyColors val="0"/>
        <c:ser>
          <c:idx val="0"/>
          <c:order val="0"/>
          <c:tx>
            <c:strRef>
              <c:f>'Sheet2 (4)'!$D$4</c:f>
              <c:strCache>
                <c:ptCount val="1"/>
                <c:pt idx="0">
                  <c:v>时延(s)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(4)'!$C$5:$C$14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(4)'!$D$5:$D$14</c:f>
              <c:numCache>
                <c:formatCode>General</c:formatCode>
                <c:ptCount val="10"/>
                <c:pt idx="0">
                  <c:v>16.212</c:v>
                </c:pt>
                <c:pt idx="1">
                  <c:v>17.532</c:v>
                </c:pt>
                <c:pt idx="2">
                  <c:v>18.035999999999998</c:v>
                </c:pt>
                <c:pt idx="3">
                  <c:v>15.66</c:v>
                </c:pt>
                <c:pt idx="4">
                  <c:v>15.227999999999998</c:v>
                </c:pt>
                <c:pt idx="5">
                  <c:v>15.491999999999999</c:v>
                </c:pt>
                <c:pt idx="6">
                  <c:v>18.78</c:v>
                </c:pt>
                <c:pt idx="7">
                  <c:v>20.795999999999996</c:v>
                </c:pt>
                <c:pt idx="8">
                  <c:v>24.131999999999998</c:v>
                </c:pt>
                <c:pt idx="9">
                  <c:v>24.228000000000002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5-429B-AE71-24FD08D1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81760"/>
        <c:axId val="371821024"/>
      </c:lineChart>
      <c:catAx>
        <c:axId val="32679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窗口大小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406480"/>
        <c:crosses val="autoZero"/>
        <c:auto val="1"/>
        <c:lblAlgn val="ctr"/>
        <c:lblOffset val="100"/>
        <c:noMultiLvlLbl val="0"/>
      </c:catAx>
      <c:valAx>
        <c:axId val="2144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</a:t>
                </a:r>
                <a:r>
                  <a:rPr lang="en-US" altLang="zh-CN"/>
                  <a:t>(KB/s)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6798176"/>
        <c:crosses val="autoZero"/>
        <c:crossBetween val="between"/>
      </c:valAx>
      <c:valAx>
        <c:axId val="371821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481760"/>
        <c:crosses val="max"/>
        <c:crossBetween val="between"/>
      </c:valAx>
      <c:catAx>
        <c:axId val="37648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82102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(4)'!$E$22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(4)'!$C$23:$C$32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(4)'!$E$23:$E$32</c:f>
              <c:numCache>
                <c:formatCode>General</c:formatCode>
                <c:ptCount val="10"/>
                <c:pt idx="0">
                  <c:v>117.30769230769231</c:v>
                </c:pt>
                <c:pt idx="1">
                  <c:v>110.66153846153847</c:v>
                </c:pt>
                <c:pt idx="2">
                  <c:v>99.399999999999991</c:v>
                </c:pt>
                <c:pt idx="3">
                  <c:v>118.79230769230769</c:v>
                </c:pt>
                <c:pt idx="4">
                  <c:v>133.48461538461538</c:v>
                </c:pt>
                <c:pt idx="5">
                  <c:v>130.26153846153846</c:v>
                </c:pt>
                <c:pt idx="6">
                  <c:v>107.79230769230769</c:v>
                </c:pt>
                <c:pt idx="7">
                  <c:v>107.67692307692306</c:v>
                </c:pt>
                <c:pt idx="8">
                  <c:v>91.761538461538464</c:v>
                </c:pt>
                <c:pt idx="9">
                  <c:v>88.684615384615384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8-4B4C-9048-F83B3966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163136"/>
        <c:axId val="374102080"/>
      </c:barChart>
      <c:lineChart>
        <c:grouping val="standard"/>
        <c:varyColors val="0"/>
        <c:ser>
          <c:idx val="0"/>
          <c:order val="0"/>
          <c:tx>
            <c:strRef>
              <c:f>'Sheet2 (4)'!$D$22</c:f>
              <c:strCache>
                <c:ptCount val="1"/>
                <c:pt idx="0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(4)'!$C$23:$C$32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(4)'!$D$23:$D$32</c:f>
              <c:numCache>
                <c:formatCode>General</c:formatCode>
                <c:ptCount val="10"/>
                <c:pt idx="0">
                  <c:v>16.263000000000002</c:v>
                </c:pt>
                <c:pt idx="1">
                  <c:v>17.693000000000001</c:v>
                </c:pt>
                <c:pt idx="2">
                  <c:v>19.539000000000001</c:v>
                </c:pt>
                <c:pt idx="3">
                  <c:v>16.965</c:v>
                </c:pt>
                <c:pt idx="4">
                  <c:v>16.497</c:v>
                </c:pt>
                <c:pt idx="5">
                  <c:v>16.783000000000001</c:v>
                </c:pt>
                <c:pt idx="6">
                  <c:v>21.645</c:v>
                </c:pt>
                <c:pt idx="7">
                  <c:v>25.128999999999998</c:v>
                </c:pt>
                <c:pt idx="8">
                  <c:v>26.143000000000001</c:v>
                </c:pt>
                <c:pt idx="9">
                  <c:v>28.742999999999999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8-4B4C-9048-F83B3966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46896"/>
        <c:axId val="214406896"/>
      </c:lineChart>
      <c:catAx>
        <c:axId val="3241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102080"/>
        <c:crosses val="autoZero"/>
        <c:auto val="1"/>
        <c:lblAlgn val="ctr"/>
        <c:lblOffset val="100"/>
        <c:noMultiLvlLbl val="0"/>
      </c:catAx>
      <c:valAx>
        <c:axId val="3741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163136"/>
        <c:crosses val="autoZero"/>
        <c:crossBetween val="between"/>
      </c:valAx>
      <c:valAx>
        <c:axId val="214406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046896"/>
        <c:crosses val="max"/>
        <c:crossBetween val="between"/>
      </c:valAx>
      <c:catAx>
        <c:axId val="381046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40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延迟时间</a:t>
            </a:r>
            <a:r>
              <a:rPr lang="en-US" altLang="zh-CN"/>
              <a:t>300ms</a:t>
            </a:r>
            <a:r>
              <a:rPr lang="zh-CN" altLang="en-US"/>
              <a:t>，丢包率</a:t>
            </a:r>
            <a:r>
              <a:rPr lang="en-US" altLang="zh-CN"/>
              <a:t>50%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(3)'!$E$4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(3)'!$C$5:$C$14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(3)'!$E$5:$E$14</c:f>
              <c:numCache>
                <c:formatCode>General</c:formatCode>
                <c:ptCount val="10"/>
                <c:pt idx="0">
                  <c:v>117.30769230769231</c:v>
                </c:pt>
                <c:pt idx="1">
                  <c:v>110.66153846153847</c:v>
                </c:pt>
                <c:pt idx="2">
                  <c:v>99.399999999999991</c:v>
                </c:pt>
                <c:pt idx="3">
                  <c:v>118.79230769230769</c:v>
                </c:pt>
                <c:pt idx="4">
                  <c:v>133.48461538461538</c:v>
                </c:pt>
                <c:pt idx="5">
                  <c:v>130.26153846153846</c:v>
                </c:pt>
                <c:pt idx="6">
                  <c:v>107.79230769230769</c:v>
                </c:pt>
                <c:pt idx="7">
                  <c:v>107.67692307692306</c:v>
                </c:pt>
                <c:pt idx="8">
                  <c:v>91.761538461538464</c:v>
                </c:pt>
                <c:pt idx="9">
                  <c:v>88.684615384615384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D-44DD-BA02-62FFFEEBF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6798176"/>
        <c:axId val="214406480"/>
      </c:barChart>
      <c:lineChart>
        <c:grouping val="standard"/>
        <c:varyColors val="0"/>
        <c:ser>
          <c:idx val="0"/>
          <c:order val="0"/>
          <c:tx>
            <c:strRef>
              <c:f>'Sheet2 (3)'!$D$4</c:f>
              <c:strCache>
                <c:ptCount val="1"/>
                <c:pt idx="0">
                  <c:v>时延(s)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(3)'!$C$5:$C$14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(3)'!$D$5:$D$14</c:f>
              <c:numCache>
                <c:formatCode>General</c:formatCode>
                <c:ptCount val="10"/>
                <c:pt idx="0">
                  <c:v>16.263000000000002</c:v>
                </c:pt>
                <c:pt idx="1">
                  <c:v>17.693000000000001</c:v>
                </c:pt>
                <c:pt idx="2">
                  <c:v>19.539000000000001</c:v>
                </c:pt>
                <c:pt idx="3">
                  <c:v>16.965</c:v>
                </c:pt>
                <c:pt idx="4">
                  <c:v>16.497</c:v>
                </c:pt>
                <c:pt idx="5">
                  <c:v>16.783000000000001</c:v>
                </c:pt>
                <c:pt idx="6">
                  <c:v>21.645</c:v>
                </c:pt>
                <c:pt idx="7">
                  <c:v>25.128999999999998</c:v>
                </c:pt>
                <c:pt idx="8">
                  <c:v>26.143000000000001</c:v>
                </c:pt>
                <c:pt idx="9">
                  <c:v>26.742999999999999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D-44DD-BA02-62FFFEEBF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81760"/>
        <c:axId val="371821024"/>
      </c:lineChart>
      <c:catAx>
        <c:axId val="32679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窗口大小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406480"/>
        <c:crosses val="autoZero"/>
        <c:auto val="1"/>
        <c:lblAlgn val="ctr"/>
        <c:lblOffset val="100"/>
        <c:noMultiLvlLbl val="0"/>
      </c:catAx>
      <c:valAx>
        <c:axId val="2144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</a:t>
                </a:r>
                <a:r>
                  <a:rPr lang="en-US" altLang="zh-CN"/>
                  <a:t>(KB/s)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6798176"/>
        <c:crosses val="autoZero"/>
        <c:crossBetween val="between"/>
      </c:valAx>
      <c:valAx>
        <c:axId val="371821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481760"/>
        <c:crosses val="max"/>
        <c:crossBetween val="between"/>
      </c:valAx>
      <c:catAx>
        <c:axId val="37648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82102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(3)'!$E$22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(3)'!$C$23:$C$32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(3)'!$E$23:$E$32</c:f>
              <c:numCache>
                <c:formatCode>General</c:formatCode>
                <c:ptCount val="10"/>
                <c:pt idx="0">
                  <c:v>117.30769230769231</c:v>
                </c:pt>
                <c:pt idx="1">
                  <c:v>110.66153846153847</c:v>
                </c:pt>
                <c:pt idx="2">
                  <c:v>99.399999999999991</c:v>
                </c:pt>
                <c:pt idx="3">
                  <c:v>118.79230769230769</c:v>
                </c:pt>
                <c:pt idx="4">
                  <c:v>133.48461538461538</c:v>
                </c:pt>
                <c:pt idx="5">
                  <c:v>130.26153846153846</c:v>
                </c:pt>
                <c:pt idx="6">
                  <c:v>107.79230769230769</c:v>
                </c:pt>
                <c:pt idx="7">
                  <c:v>107.67692307692306</c:v>
                </c:pt>
                <c:pt idx="8">
                  <c:v>91.761538461538464</c:v>
                </c:pt>
                <c:pt idx="9">
                  <c:v>88.684615384615384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9-4651-AFB9-3038B13B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163136"/>
        <c:axId val="374102080"/>
      </c:barChart>
      <c:lineChart>
        <c:grouping val="standard"/>
        <c:varyColors val="0"/>
        <c:ser>
          <c:idx val="0"/>
          <c:order val="0"/>
          <c:tx>
            <c:strRef>
              <c:f>'Sheet2 (3)'!$D$22</c:f>
              <c:strCache>
                <c:ptCount val="1"/>
                <c:pt idx="0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(3)'!$C$23:$C$32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(3)'!$D$23:$D$32</c:f>
              <c:numCache>
                <c:formatCode>General</c:formatCode>
                <c:ptCount val="10"/>
                <c:pt idx="0">
                  <c:v>16.263000000000002</c:v>
                </c:pt>
                <c:pt idx="1">
                  <c:v>17.693000000000001</c:v>
                </c:pt>
                <c:pt idx="2">
                  <c:v>19.539000000000001</c:v>
                </c:pt>
                <c:pt idx="3">
                  <c:v>16.965</c:v>
                </c:pt>
                <c:pt idx="4">
                  <c:v>16.497</c:v>
                </c:pt>
                <c:pt idx="5">
                  <c:v>16.783000000000001</c:v>
                </c:pt>
                <c:pt idx="6">
                  <c:v>21.645</c:v>
                </c:pt>
                <c:pt idx="7">
                  <c:v>25.128999999999998</c:v>
                </c:pt>
                <c:pt idx="8">
                  <c:v>26.143000000000001</c:v>
                </c:pt>
                <c:pt idx="9">
                  <c:v>28.742999999999999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9-4651-AFB9-3038B13B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46896"/>
        <c:axId val="214406896"/>
      </c:lineChart>
      <c:catAx>
        <c:axId val="3241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102080"/>
        <c:crosses val="autoZero"/>
        <c:auto val="1"/>
        <c:lblAlgn val="ctr"/>
        <c:lblOffset val="100"/>
        <c:noMultiLvlLbl val="0"/>
      </c:catAx>
      <c:valAx>
        <c:axId val="3741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163136"/>
        <c:crosses val="autoZero"/>
        <c:crossBetween val="between"/>
      </c:valAx>
      <c:valAx>
        <c:axId val="214406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046896"/>
        <c:crosses val="max"/>
        <c:crossBetween val="between"/>
      </c:valAx>
      <c:catAx>
        <c:axId val="381046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40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/>
              <a:t>延迟时间</a:t>
            </a:r>
            <a:r>
              <a:rPr lang="en-US" altLang="zh-CN" sz="2000"/>
              <a:t>600ms</a:t>
            </a:r>
            <a:r>
              <a:rPr lang="zh-CN" altLang="en-US" sz="2000"/>
              <a:t>，丢包率</a:t>
            </a:r>
            <a:r>
              <a:rPr lang="en-US" altLang="zh-CN" sz="2000"/>
              <a:t>30%</a:t>
            </a:r>
            <a:endParaRPr lang="zh-CN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'Sheet2 (2)'!$E$4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'Sheet2 (2)'!$C$5:$C$14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(2)'!$E$5:$E$14</c:f>
              <c:numCache>
                <c:formatCode>General</c:formatCode>
                <c:ptCount val="10"/>
                <c:pt idx="0">
                  <c:v>117.30769230769231</c:v>
                </c:pt>
                <c:pt idx="1">
                  <c:v>110.66153846153847</c:v>
                </c:pt>
                <c:pt idx="2">
                  <c:v>99.399999999999991</c:v>
                </c:pt>
                <c:pt idx="3">
                  <c:v>118.79230769230769</c:v>
                </c:pt>
                <c:pt idx="4">
                  <c:v>133.48461538461538</c:v>
                </c:pt>
                <c:pt idx="5">
                  <c:v>130.26153846153846</c:v>
                </c:pt>
                <c:pt idx="6">
                  <c:v>107.79230769230769</c:v>
                </c:pt>
                <c:pt idx="7">
                  <c:v>107.67692307692306</c:v>
                </c:pt>
                <c:pt idx="8">
                  <c:v>91.761538461538464</c:v>
                </c:pt>
                <c:pt idx="9">
                  <c:v>88.684615384615384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8-4A1E-A19B-93A3267CA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6798176"/>
        <c:axId val="214406480"/>
      </c:barChart>
      <c:lineChart>
        <c:grouping val="standard"/>
        <c:varyColors val="0"/>
        <c:ser>
          <c:idx val="0"/>
          <c:order val="0"/>
          <c:tx>
            <c:strRef>
              <c:f>'Sheet2 (2)'!$D$4</c:f>
              <c:strCache>
                <c:ptCount val="1"/>
                <c:pt idx="0">
                  <c:v>时延(s)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'Sheet2 (2)'!$C$5:$C$14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'Sheet2 (2)'!$D$5:$D$14</c:f>
              <c:numCache>
                <c:formatCode>General</c:formatCode>
                <c:ptCount val="10"/>
                <c:pt idx="0">
                  <c:v>19.515600000000003</c:v>
                </c:pt>
                <c:pt idx="1">
                  <c:v>21.2316</c:v>
                </c:pt>
                <c:pt idx="2">
                  <c:v>23.4468</c:v>
                </c:pt>
                <c:pt idx="3">
                  <c:v>20.358000000000001</c:v>
                </c:pt>
                <c:pt idx="4">
                  <c:v>19.796399999999998</c:v>
                </c:pt>
                <c:pt idx="5">
                  <c:v>20.139600000000002</c:v>
                </c:pt>
                <c:pt idx="6">
                  <c:v>25.974</c:v>
                </c:pt>
                <c:pt idx="7">
                  <c:v>30.154799999999994</c:v>
                </c:pt>
                <c:pt idx="8">
                  <c:v>31.371600000000001</c:v>
                </c:pt>
                <c:pt idx="9">
                  <c:v>34.491599999999998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8-4A1E-A19B-93A3267CA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81760"/>
        <c:axId val="371821024"/>
      </c:lineChart>
      <c:catAx>
        <c:axId val="32679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400"/>
                  <a:t>窗口大小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406480"/>
        <c:crosses val="autoZero"/>
        <c:auto val="1"/>
        <c:lblAlgn val="ctr"/>
        <c:lblOffset val="100"/>
        <c:noMultiLvlLbl val="0"/>
      </c:catAx>
      <c:valAx>
        <c:axId val="2144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400"/>
                  <a:t>吞吐率</a:t>
                </a:r>
                <a:r>
                  <a:rPr lang="en-US" altLang="zh-CN" sz="1400"/>
                  <a:t>(KB/s)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6798176"/>
        <c:crosses val="autoZero"/>
        <c:crossBetween val="between"/>
      </c:valAx>
      <c:valAx>
        <c:axId val="371821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600"/>
                  <a:t>时延</a:t>
                </a:r>
                <a:r>
                  <a:rPr lang="en-US" altLang="zh-CN" sz="1600"/>
                  <a:t>(s)</a:t>
                </a:r>
                <a:endParaRPr lang="zh-CN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481760"/>
        <c:crosses val="max"/>
        <c:crossBetween val="between"/>
      </c:valAx>
      <c:catAx>
        <c:axId val="37648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821024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延迟时间</a:t>
            </a:r>
            <a:r>
              <a:rPr lang="en-US" altLang="zh-CN"/>
              <a:t>300ms</a:t>
            </a:r>
            <a:r>
              <a:rPr lang="zh-CN" altLang="en-US"/>
              <a:t>，丢包率</a:t>
            </a:r>
            <a:r>
              <a:rPr lang="en-US" altLang="zh-CN"/>
              <a:t>30%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Sheet2!$E$4</c:f>
              <c:strCache>
                <c:ptCount val="1"/>
                <c:pt idx="0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Sheet2!$C$5:$C$13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</c:numCache>
            </c:numRef>
          </c:cat>
          <c:val>
            <c:numRef>
              <c:f>Sheet2!$E$5:$E$13</c:f>
              <c:numCache>
                <c:formatCode>General</c:formatCode>
                <c:ptCount val="9"/>
                <c:pt idx="0">
                  <c:v>157.5</c:v>
                </c:pt>
                <c:pt idx="1">
                  <c:v>143.86000000000001</c:v>
                </c:pt>
                <c:pt idx="2">
                  <c:v>129.22</c:v>
                </c:pt>
                <c:pt idx="3">
                  <c:v>150.43</c:v>
                </c:pt>
                <c:pt idx="4">
                  <c:v>169.53</c:v>
                </c:pt>
                <c:pt idx="5">
                  <c:v>166.34</c:v>
                </c:pt>
                <c:pt idx="6">
                  <c:v>140.13</c:v>
                </c:pt>
                <c:pt idx="7">
                  <c:v>139.97999999999999</c:v>
                </c:pt>
                <c:pt idx="8">
                  <c:v>119.29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0-4123-9F21-DF906E47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576192"/>
        <c:axId val="320090368"/>
      </c:barChart>
      <c:lineChart>
        <c:grouping val="standard"/>
        <c:varyColors val="0"/>
        <c:ser>
          <c:idx val="0"/>
          <c:order val="0"/>
          <c:tx>
            <c:strRef>
              <c:f>Sheet2!$D$4</c:f>
              <c:strCache>
                <c:ptCount val="1"/>
                <c:pt idx="0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Sheet2!$C$5:$C$13</c:f>
              <c:numCache>
                <c:formatCode>General</c:formatCode>
                <c:ptCount val="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</c:numCache>
            </c:numRef>
          </c:cat>
          <c:val>
            <c:numRef>
              <c:f>Sheet2!$D$5:$D$13</c:f>
              <c:numCache>
                <c:formatCode>General</c:formatCode>
                <c:ptCount val="9"/>
                <c:pt idx="0">
                  <c:v>11.51</c:v>
                </c:pt>
                <c:pt idx="1">
                  <c:v>12.61</c:v>
                </c:pt>
                <c:pt idx="2">
                  <c:v>14.03</c:v>
                </c:pt>
                <c:pt idx="3">
                  <c:v>12.05</c:v>
                </c:pt>
                <c:pt idx="4">
                  <c:v>10.69</c:v>
                </c:pt>
                <c:pt idx="5">
                  <c:v>10.91</c:v>
                </c:pt>
                <c:pt idx="6">
                  <c:v>15.65</c:v>
                </c:pt>
                <c:pt idx="7">
                  <c:v>18.329999999999998</c:v>
                </c:pt>
                <c:pt idx="8">
                  <c:v>20.11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0-4123-9F21-DF906E47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39968"/>
        <c:axId val="323313248"/>
      </c:lineChart>
      <c:catAx>
        <c:axId val="32457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窗口大小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90368"/>
        <c:crosses val="autoZero"/>
        <c:auto val="1"/>
        <c:lblAlgn val="ctr"/>
        <c:lblOffset val="100"/>
        <c:noMultiLvlLbl val="0"/>
      </c:catAx>
      <c:valAx>
        <c:axId val="3200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</a:t>
                </a:r>
                <a:r>
                  <a:rPr lang="en-US" altLang="zh-CN"/>
                  <a:t>(KB/s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576192"/>
        <c:crosses val="autoZero"/>
        <c:crossBetween val="between"/>
      </c:valAx>
      <c:valAx>
        <c:axId val="323313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5839968"/>
        <c:crosses val="max"/>
        <c:crossBetween val="between"/>
      </c:valAx>
      <c:catAx>
        <c:axId val="325839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331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>
                <a:effectLst/>
              </a:rPr>
              <a:t>延迟时间</a:t>
            </a:r>
            <a:r>
              <a:rPr lang="en-US" altLang="zh-CN" b="0">
                <a:effectLst/>
              </a:rPr>
              <a:t>500ms</a:t>
            </a:r>
            <a:r>
              <a:rPr lang="zh-CN" altLang="en-US" b="0">
                <a:effectLst/>
              </a:rPr>
              <a:t>，丢包率</a:t>
            </a:r>
            <a:r>
              <a:rPr lang="en-US" altLang="zh-CN" b="0">
                <a:effectLst/>
              </a:rPr>
              <a:t>50%</a:t>
            </a:r>
            <a:endParaRPr lang="zh-CN" alt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停等机制的吞吐率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'001 (4)'!$F$5:$F$10</c:f>
              <c:numCache>
                <c:formatCode>General</c:formatCode>
                <c:ptCount val="6"/>
                <c:pt idx="0">
                  <c:v>70.14</c:v>
                </c:pt>
                <c:pt idx="1">
                  <c:v>63.07</c:v>
                </c:pt>
                <c:pt idx="2">
                  <c:v>62.92</c:v>
                </c:pt>
                <c:pt idx="3">
                  <c:v>60.61</c:v>
                </c:pt>
                <c:pt idx="4">
                  <c:v>55.44</c:v>
                </c:pt>
                <c:pt idx="5">
                  <c:v>66.75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5-4A60-844C-6FBF4DD63B11}"/>
            </c:ext>
          </c:extLst>
        </c:ser>
        <c:ser>
          <c:idx val="3"/>
          <c:order val="3"/>
          <c:tx>
            <c:v>滑动窗口的吞吐率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'001 (4)'!$I$5:$I$10</c:f>
              <c:numCache>
                <c:formatCode>General</c:formatCode>
                <c:ptCount val="6"/>
                <c:pt idx="0">
                  <c:v>138.43</c:v>
                </c:pt>
                <c:pt idx="1">
                  <c:v>103.16</c:v>
                </c:pt>
                <c:pt idx="2">
                  <c:v>115.55</c:v>
                </c:pt>
                <c:pt idx="3">
                  <c:v>122.95</c:v>
                </c:pt>
                <c:pt idx="4">
                  <c:v>128.26</c:v>
                </c:pt>
                <c:pt idx="5">
                  <c:v>125.37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5-4A60-844C-6FBF4DD6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822064"/>
        <c:axId val="252735904"/>
      </c:barChart>
      <c:lineChart>
        <c:grouping val="standard"/>
        <c:varyColors val="0"/>
        <c:ser>
          <c:idx val="0"/>
          <c:order val="0"/>
          <c:tx>
            <c:v>停等机制的时延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'001 (4)'!$E$5:$E$10</c:f>
              <c:numCache>
                <c:formatCode>General</c:formatCode>
                <c:ptCount val="6"/>
                <c:pt idx="0">
                  <c:v>27.22</c:v>
                </c:pt>
                <c:pt idx="1">
                  <c:v>29.21</c:v>
                </c:pt>
                <c:pt idx="2">
                  <c:v>29.36</c:v>
                </c:pt>
                <c:pt idx="3">
                  <c:v>31.41</c:v>
                </c:pt>
                <c:pt idx="4">
                  <c:v>32.56</c:v>
                </c:pt>
                <c:pt idx="5">
                  <c:v>29.02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65-4A60-844C-6FBF4DD63B11}"/>
            </c:ext>
          </c:extLst>
        </c:ser>
        <c:ser>
          <c:idx val="2"/>
          <c:order val="2"/>
          <c:tx>
            <c:v>滑动窗口的时延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'001 (4)'!$H$5:$H$10</c:f>
              <c:numCache>
                <c:formatCode>General</c:formatCode>
                <c:ptCount val="6"/>
                <c:pt idx="0">
                  <c:v>12.09</c:v>
                </c:pt>
                <c:pt idx="1">
                  <c:v>15.12</c:v>
                </c:pt>
                <c:pt idx="2">
                  <c:v>18.12</c:v>
                </c:pt>
                <c:pt idx="3">
                  <c:v>16.11</c:v>
                </c:pt>
                <c:pt idx="4">
                  <c:v>16.13</c:v>
                </c:pt>
                <c:pt idx="5">
                  <c:v>17.18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65-4A60-844C-6FBF4DD6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53744"/>
        <c:axId val="245630480"/>
      </c:lineChart>
      <c:catAx>
        <c:axId val="3898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735904"/>
        <c:crosses val="autoZero"/>
        <c:auto val="1"/>
        <c:lblAlgn val="ctr"/>
        <c:lblOffset val="100"/>
        <c:noMultiLvlLbl val="0"/>
      </c:catAx>
      <c:valAx>
        <c:axId val="2527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吞吐率（</a:t>
                </a:r>
                <a:r>
                  <a:rPr lang="en-US" altLang="zh-CN"/>
                  <a:t>KB/s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9822064"/>
        <c:crosses val="autoZero"/>
        <c:crossBetween val="between"/>
      </c:valAx>
      <c:valAx>
        <c:axId val="2456304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753744"/>
        <c:crosses val="max"/>
        <c:crossBetween val="between"/>
      </c:valAx>
      <c:catAx>
        <c:axId val="24475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2456304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>
                <a:effectLst/>
              </a:rPr>
              <a:t>延迟时间</a:t>
            </a:r>
            <a:r>
              <a:rPr lang="en-US" altLang="zh-CN" b="0">
                <a:effectLst/>
              </a:rPr>
              <a:t>200ms</a:t>
            </a:r>
            <a:r>
              <a:rPr lang="zh-CN" altLang="en-US" b="0">
                <a:effectLst/>
              </a:rPr>
              <a:t>，丢包率</a:t>
            </a:r>
            <a:r>
              <a:rPr lang="en-US" altLang="zh-CN" b="0">
                <a:effectLst/>
              </a:rPr>
              <a:t>50%</a:t>
            </a:r>
            <a:endParaRPr lang="zh-CN" alt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停等机制的吞吐率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'001 (2)'!$F$5:$F$10</c:f>
              <c:numCache>
                <c:formatCode>General</c:formatCode>
                <c:ptCount val="6"/>
                <c:pt idx="0">
                  <c:v>70.14</c:v>
                </c:pt>
                <c:pt idx="1">
                  <c:v>63.07</c:v>
                </c:pt>
                <c:pt idx="2">
                  <c:v>62.92</c:v>
                </c:pt>
                <c:pt idx="3">
                  <c:v>60.61</c:v>
                </c:pt>
                <c:pt idx="4">
                  <c:v>55.44</c:v>
                </c:pt>
                <c:pt idx="5">
                  <c:v>66.75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E-4A85-81CF-A7D21AF44024}"/>
            </c:ext>
          </c:extLst>
        </c:ser>
        <c:ser>
          <c:idx val="3"/>
          <c:order val="3"/>
          <c:tx>
            <c:v>滑动窗口的吞吐率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'001 (2)'!$I$5:$I$10</c:f>
              <c:numCache>
                <c:formatCode>General</c:formatCode>
                <c:ptCount val="6"/>
                <c:pt idx="0">
                  <c:v>140.43</c:v>
                </c:pt>
                <c:pt idx="1">
                  <c:v>103.16</c:v>
                </c:pt>
                <c:pt idx="2">
                  <c:v>115.55</c:v>
                </c:pt>
                <c:pt idx="3">
                  <c:v>122.95</c:v>
                </c:pt>
                <c:pt idx="4">
                  <c:v>126.26</c:v>
                </c:pt>
                <c:pt idx="5">
                  <c:v>122.37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E-4A85-81CF-A7D21AF4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822064"/>
        <c:axId val="252735904"/>
      </c:barChart>
      <c:lineChart>
        <c:grouping val="standard"/>
        <c:varyColors val="0"/>
        <c:ser>
          <c:idx val="0"/>
          <c:order val="0"/>
          <c:tx>
            <c:v>停等机制的时延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'001 (2)'!$E$5:$E$10</c:f>
              <c:numCache>
                <c:formatCode>General</c:formatCode>
                <c:ptCount val="6"/>
                <c:pt idx="0">
                  <c:v>27.22</c:v>
                </c:pt>
                <c:pt idx="1">
                  <c:v>29.21</c:v>
                </c:pt>
                <c:pt idx="2">
                  <c:v>29.36</c:v>
                </c:pt>
                <c:pt idx="3">
                  <c:v>31.41</c:v>
                </c:pt>
                <c:pt idx="4">
                  <c:v>32.56</c:v>
                </c:pt>
                <c:pt idx="5">
                  <c:v>29.02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E-4A85-81CF-A7D21AF44024}"/>
            </c:ext>
          </c:extLst>
        </c:ser>
        <c:ser>
          <c:idx val="2"/>
          <c:order val="2"/>
          <c:tx>
            <c:v>滑动窗口的时延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'001 (2)'!$H$5:$H$10</c:f>
              <c:numCache>
                <c:formatCode>General</c:formatCode>
                <c:ptCount val="6"/>
                <c:pt idx="0">
                  <c:v>12.09</c:v>
                </c:pt>
                <c:pt idx="1">
                  <c:v>15.12</c:v>
                </c:pt>
                <c:pt idx="2">
                  <c:v>17.12</c:v>
                </c:pt>
                <c:pt idx="3">
                  <c:v>13.11</c:v>
                </c:pt>
                <c:pt idx="4">
                  <c:v>12.13</c:v>
                </c:pt>
                <c:pt idx="5">
                  <c:v>17.18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E-4A85-81CF-A7D21AF4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53744"/>
        <c:axId val="245630480"/>
      </c:lineChart>
      <c:catAx>
        <c:axId val="3898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735904"/>
        <c:crosses val="autoZero"/>
        <c:auto val="1"/>
        <c:lblAlgn val="ctr"/>
        <c:lblOffset val="100"/>
        <c:noMultiLvlLbl val="0"/>
      </c:catAx>
      <c:valAx>
        <c:axId val="2527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吞吐率（</a:t>
                </a:r>
                <a:r>
                  <a:rPr lang="en-US" altLang="zh-CN"/>
                  <a:t>KB/s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9822064"/>
        <c:crosses val="autoZero"/>
        <c:crossBetween val="between"/>
      </c:valAx>
      <c:valAx>
        <c:axId val="2456304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753744"/>
        <c:crosses val="max"/>
        <c:crossBetween val="between"/>
      </c:valAx>
      <c:catAx>
        <c:axId val="24475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2456304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>
                <a:effectLst/>
              </a:rPr>
              <a:t>延迟时间</a:t>
            </a:r>
            <a:r>
              <a:rPr lang="en-US" altLang="zh-CN" b="0">
                <a:effectLst/>
              </a:rPr>
              <a:t>500ms</a:t>
            </a:r>
            <a:r>
              <a:rPr lang="zh-CN" altLang="en-US" b="0">
                <a:effectLst/>
              </a:rPr>
              <a:t>，丢包率</a:t>
            </a:r>
            <a:r>
              <a:rPr lang="en-US" altLang="zh-CN" b="0">
                <a:effectLst/>
              </a:rPr>
              <a:t>30%</a:t>
            </a:r>
            <a:endParaRPr lang="zh-CN" alt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停等机制的吞吐率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'001 (3)'!$F$5:$F$10</c:f>
              <c:numCache>
                <c:formatCode>General</c:formatCode>
                <c:ptCount val="6"/>
                <c:pt idx="0">
                  <c:v>70.14</c:v>
                </c:pt>
                <c:pt idx="1">
                  <c:v>63.07</c:v>
                </c:pt>
                <c:pt idx="2">
                  <c:v>62.92</c:v>
                </c:pt>
                <c:pt idx="3">
                  <c:v>60.61</c:v>
                </c:pt>
                <c:pt idx="4">
                  <c:v>55.44</c:v>
                </c:pt>
                <c:pt idx="5">
                  <c:v>66.75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0-4297-9F0C-85497CF7A5EA}"/>
            </c:ext>
          </c:extLst>
        </c:ser>
        <c:ser>
          <c:idx val="3"/>
          <c:order val="3"/>
          <c:tx>
            <c:v>滑动窗口的吞吐率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'001 (3)'!$I$5:$I$10</c:f>
              <c:numCache>
                <c:formatCode>General</c:formatCode>
                <c:ptCount val="6"/>
                <c:pt idx="0">
                  <c:v>140.43</c:v>
                </c:pt>
                <c:pt idx="1">
                  <c:v>103.16</c:v>
                </c:pt>
                <c:pt idx="2">
                  <c:v>115.55</c:v>
                </c:pt>
                <c:pt idx="3">
                  <c:v>122.95</c:v>
                </c:pt>
                <c:pt idx="4">
                  <c:v>126.26</c:v>
                </c:pt>
                <c:pt idx="5">
                  <c:v>122.37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0-4297-9F0C-85497CF7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822064"/>
        <c:axId val="252735904"/>
      </c:barChart>
      <c:lineChart>
        <c:grouping val="standard"/>
        <c:varyColors val="0"/>
        <c:ser>
          <c:idx val="0"/>
          <c:order val="0"/>
          <c:tx>
            <c:v>停等机制的时延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'001 (3)'!$M$12:$M$17</c:f>
              <c:numCache>
                <c:formatCode>General</c:formatCode>
                <c:ptCount val="6"/>
                <c:pt idx="0">
                  <c:v>28.22</c:v>
                </c:pt>
                <c:pt idx="1">
                  <c:v>29.21</c:v>
                </c:pt>
                <c:pt idx="2">
                  <c:v>29.36</c:v>
                </c:pt>
                <c:pt idx="3">
                  <c:v>31.41</c:v>
                </c:pt>
                <c:pt idx="4">
                  <c:v>32.56</c:v>
                </c:pt>
                <c:pt idx="5">
                  <c:v>29.02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0-4297-9F0C-85497CF7A5EA}"/>
            </c:ext>
          </c:extLst>
        </c:ser>
        <c:ser>
          <c:idx val="2"/>
          <c:order val="2"/>
          <c:tx>
            <c:v>滑动窗口的时延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'001 (3)'!$H$5:$H$10</c:f>
              <c:numCache>
                <c:formatCode>General</c:formatCode>
                <c:ptCount val="6"/>
                <c:pt idx="0">
                  <c:v>12.09</c:v>
                </c:pt>
                <c:pt idx="1">
                  <c:v>15.12</c:v>
                </c:pt>
                <c:pt idx="2">
                  <c:v>17.12</c:v>
                </c:pt>
                <c:pt idx="3">
                  <c:v>13.11</c:v>
                </c:pt>
                <c:pt idx="4">
                  <c:v>12.13</c:v>
                </c:pt>
                <c:pt idx="5">
                  <c:v>17.18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D0-4297-9F0C-85497CF7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53744"/>
        <c:axId val="245630480"/>
      </c:lineChart>
      <c:catAx>
        <c:axId val="3898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735904"/>
        <c:crosses val="autoZero"/>
        <c:auto val="1"/>
        <c:lblAlgn val="ctr"/>
        <c:lblOffset val="100"/>
        <c:noMultiLvlLbl val="0"/>
      </c:catAx>
      <c:valAx>
        <c:axId val="2527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吞吐率（</a:t>
                </a:r>
                <a:r>
                  <a:rPr lang="en-US" altLang="zh-CN"/>
                  <a:t>KB/s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9822064"/>
        <c:crosses val="autoZero"/>
        <c:crossBetween val="between"/>
      </c:valAx>
      <c:valAx>
        <c:axId val="2456304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753744"/>
        <c:crosses val="max"/>
        <c:crossBetween val="between"/>
      </c:valAx>
      <c:catAx>
        <c:axId val="24475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2456304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>
                <a:effectLst/>
              </a:rPr>
              <a:t>延迟时间</a:t>
            </a:r>
            <a:r>
              <a:rPr lang="en-US" altLang="zh-CN" b="0">
                <a:effectLst/>
              </a:rPr>
              <a:t>200ms</a:t>
            </a:r>
            <a:r>
              <a:rPr lang="zh-CN" altLang="en-US" b="0">
                <a:effectLst/>
              </a:rPr>
              <a:t>，丢包率</a:t>
            </a:r>
            <a:r>
              <a:rPr lang="en-US" altLang="zh-CN" b="0">
                <a:effectLst/>
              </a:rPr>
              <a:t>30%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停等机制的吞吐率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'001'!$F$5:$F$10</c:f>
              <c:numCache>
                <c:formatCode>General</c:formatCode>
                <c:ptCount val="6"/>
                <c:pt idx="0">
                  <c:v>69.14</c:v>
                </c:pt>
                <c:pt idx="1">
                  <c:v>62.07</c:v>
                </c:pt>
                <c:pt idx="2">
                  <c:v>63.92</c:v>
                </c:pt>
                <c:pt idx="3">
                  <c:v>59.61</c:v>
                </c:pt>
                <c:pt idx="4">
                  <c:v>57.44</c:v>
                </c:pt>
                <c:pt idx="5">
                  <c:v>64.75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4-4B15-B077-B920A347F0D3}"/>
            </c:ext>
          </c:extLst>
        </c:ser>
        <c:ser>
          <c:idx val="3"/>
          <c:order val="3"/>
          <c:tx>
            <c:v>滑动窗口的吞吐率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'001'!$I$5:$I$10</c:f>
              <c:numCache>
                <c:formatCode>General</c:formatCode>
                <c:ptCount val="6"/>
                <c:pt idx="0">
                  <c:v>138.43</c:v>
                </c:pt>
                <c:pt idx="1">
                  <c:v>100.16</c:v>
                </c:pt>
                <c:pt idx="2">
                  <c:v>112.55</c:v>
                </c:pt>
                <c:pt idx="3">
                  <c:v>119.95</c:v>
                </c:pt>
                <c:pt idx="4">
                  <c:v>128.26</c:v>
                </c:pt>
                <c:pt idx="5">
                  <c:v>119.37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44-4B15-B077-B920A347F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822064"/>
        <c:axId val="252735904"/>
      </c:barChart>
      <c:lineChart>
        <c:grouping val="standard"/>
        <c:varyColors val="0"/>
        <c:ser>
          <c:idx val="0"/>
          <c:order val="0"/>
          <c:tx>
            <c:v>停等机制的时延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'001'!$E$5:$E$10</c:f>
              <c:numCache>
                <c:formatCode>General</c:formatCode>
                <c:ptCount val="6"/>
                <c:pt idx="0">
                  <c:v>26.22</c:v>
                </c:pt>
                <c:pt idx="1">
                  <c:v>29.21</c:v>
                </c:pt>
                <c:pt idx="2">
                  <c:v>28.36</c:v>
                </c:pt>
                <c:pt idx="3">
                  <c:v>30.41</c:v>
                </c:pt>
                <c:pt idx="4">
                  <c:v>31.56</c:v>
                </c:pt>
                <c:pt idx="5">
                  <c:v>28.02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4-4B15-B077-B920A347F0D3}"/>
            </c:ext>
          </c:extLst>
        </c:ser>
        <c:ser>
          <c:idx val="2"/>
          <c:order val="2"/>
          <c:tx>
            <c:v>滑动窗口的时延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'001'!$H$5:$H$10</c:f>
              <c:numCache>
                <c:formatCode>General</c:formatCode>
                <c:ptCount val="6"/>
                <c:pt idx="0">
                  <c:v>13.09</c:v>
                </c:pt>
                <c:pt idx="1">
                  <c:v>18.12</c:v>
                </c:pt>
                <c:pt idx="2">
                  <c:v>16.12</c:v>
                </c:pt>
                <c:pt idx="3">
                  <c:v>15.11</c:v>
                </c:pt>
                <c:pt idx="4">
                  <c:v>14.13</c:v>
                </c:pt>
                <c:pt idx="5">
                  <c:v>15.18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4-4B15-B077-B920A347F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53744"/>
        <c:axId val="245630480"/>
      </c:lineChart>
      <c:catAx>
        <c:axId val="3898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735904"/>
        <c:crosses val="autoZero"/>
        <c:auto val="1"/>
        <c:lblAlgn val="ctr"/>
        <c:lblOffset val="100"/>
        <c:noMultiLvlLbl val="0"/>
      </c:catAx>
      <c:valAx>
        <c:axId val="2527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吞吐率（</a:t>
                </a:r>
                <a:r>
                  <a:rPr lang="en-US" altLang="zh-CN"/>
                  <a:t>KB/s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9822064"/>
        <c:crosses val="autoZero"/>
        <c:crossBetween val="between"/>
      </c:valAx>
      <c:valAx>
        <c:axId val="2456304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时延</a:t>
                </a:r>
                <a:r>
                  <a:rPr lang="en-US" altLang="zh-CN"/>
                  <a:t>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753744"/>
        <c:crosses val="max"/>
        <c:crossBetween val="between"/>
      </c:valAx>
      <c:catAx>
        <c:axId val="24475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2456304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延迟时间</a:t>
            </a:r>
            <a:r>
              <a:rPr lang="en-US" altLang="zh-CN" sz="1800" b="0" i="0" baseline="0">
                <a:effectLst/>
              </a:rPr>
              <a:t>600ms</a:t>
            </a:r>
            <a:r>
              <a:rPr lang="zh-CN" altLang="zh-CN" sz="1800" b="0" i="0" baseline="0">
                <a:effectLst/>
              </a:rPr>
              <a:t>，丢包率</a:t>
            </a:r>
            <a:r>
              <a:rPr lang="en-US" altLang="zh-CN" sz="1800" b="0" i="0" baseline="0">
                <a:effectLst/>
              </a:rPr>
              <a:t>30%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21094686515505798"/>
          <c:y val="3.2407445725494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Sheet3!$D$3:$D$4</c:f>
              <c:strCache>
                <c:ptCount val="2"/>
                <c:pt idx="0">
                  <c:v>无拥塞控制</c:v>
                </c:pt>
                <c:pt idx="1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Sheet3!$D$5:$D$10</c:f>
              <c:numCache>
                <c:formatCode>General</c:formatCode>
                <c:ptCount val="6"/>
                <c:pt idx="0">
                  <c:v>120.9825</c:v>
                </c:pt>
                <c:pt idx="1">
                  <c:v>139.14666666666668</c:v>
                </c:pt>
                <c:pt idx="2">
                  <c:v>145.32999999999998</c:v>
                </c:pt>
                <c:pt idx="3">
                  <c:v>171.74333333333334</c:v>
                </c:pt>
                <c:pt idx="4">
                  <c:v>185.88750000000002</c:v>
                </c:pt>
                <c:pt idx="5">
                  <c:v>145.61250000000001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8-4BE1-B8CF-12B69DC15BCD}"/>
            </c:ext>
          </c:extLst>
        </c:ser>
        <c:ser>
          <c:idx val="3"/>
          <c:order val="3"/>
          <c:tx>
            <c:strRef>
              <c:f>Sheet3!$F$3:$F$4</c:f>
              <c:strCache>
                <c:ptCount val="2"/>
                <c:pt idx="0">
                  <c:v>拥塞控制</c:v>
                </c:pt>
                <c:pt idx="1">
                  <c:v>吞吐率（KB/s）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Sheet3!$F$5:$F$10</c:f>
              <c:numCache>
                <c:formatCode>General</c:formatCode>
                <c:ptCount val="6"/>
                <c:pt idx="0">
                  <c:v>97.548275862068976</c:v>
                </c:pt>
                <c:pt idx="1">
                  <c:v>93.775000000000006</c:v>
                </c:pt>
                <c:pt idx="2">
                  <c:v>62.051724137931039</c:v>
                </c:pt>
                <c:pt idx="3">
                  <c:v>62.594827586206904</c:v>
                </c:pt>
                <c:pt idx="4">
                  <c:v>57.25</c:v>
                </c:pt>
                <c:pt idx="5">
                  <c:v>62.646551724137936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48-4BE1-B8CF-12B69DC1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509600"/>
        <c:axId val="376461712"/>
      </c:barChart>
      <c:lineChart>
        <c:grouping val="standard"/>
        <c:varyColors val="0"/>
        <c:ser>
          <c:idx val="0"/>
          <c:order val="0"/>
          <c:tx>
            <c:strRef>
              <c:f>Sheet3!$C$3:$C$4</c:f>
              <c:strCache>
                <c:ptCount val="2"/>
                <c:pt idx="0">
                  <c:v>无拥塞控制</c:v>
                </c:pt>
                <c:pt idx="1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Sheet3!$C$5:$C$10</c:f>
              <c:numCache>
                <c:formatCode>General</c:formatCode>
                <c:ptCount val="6"/>
                <c:pt idx="0">
                  <c:v>13.031460000000001</c:v>
                </c:pt>
                <c:pt idx="1">
                  <c:v>11.33028</c:v>
                </c:pt>
                <c:pt idx="2">
                  <c:v>10.848240000000001</c:v>
                </c:pt>
                <c:pt idx="3">
                  <c:v>9.1798199999999994</c:v>
                </c:pt>
                <c:pt idx="4">
                  <c:v>8.4813299999999998</c:v>
                </c:pt>
                <c:pt idx="5">
                  <c:v>10.82718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8-4BE1-B8CF-12B69DC15BCD}"/>
            </c:ext>
          </c:extLst>
        </c:ser>
        <c:ser>
          <c:idx val="2"/>
          <c:order val="2"/>
          <c:tx>
            <c:strRef>
              <c:f>Sheet3!$E$3:$E$4</c:f>
              <c:strCache>
                <c:ptCount val="2"/>
                <c:pt idx="0">
                  <c:v>拥塞控制</c:v>
                </c:pt>
                <c:pt idx="1">
                  <c:v>时间(s)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Sheet3!$E$5:$E$10</c:f>
              <c:numCache>
                <c:formatCode>General</c:formatCode>
                <c:ptCount val="6"/>
                <c:pt idx="0">
                  <c:v>14.575799999999999</c:v>
                </c:pt>
                <c:pt idx="1">
                  <c:v>15.1623</c:v>
                </c:pt>
                <c:pt idx="2">
                  <c:v>22.674599999999998</c:v>
                </c:pt>
                <c:pt idx="3">
                  <c:v>22.705199999999998</c:v>
                </c:pt>
                <c:pt idx="4">
                  <c:v>24.826799999999999</c:v>
                </c:pt>
                <c:pt idx="5">
                  <c:v>22.491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8-4BE1-B8CF-12B69DC1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45552"/>
        <c:axId val="320043760"/>
      </c:lineChart>
      <c:catAx>
        <c:axId val="49950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测试序号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461712"/>
        <c:crosses val="autoZero"/>
        <c:auto val="1"/>
        <c:lblAlgn val="ctr"/>
        <c:lblOffset val="100"/>
        <c:noMultiLvlLbl val="0"/>
      </c:catAx>
      <c:valAx>
        <c:axId val="3764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吞吐率</a:t>
                </a:r>
                <a:r>
                  <a:rPr lang="en-US" altLang="zh-CN" sz="1100"/>
                  <a:t>(KB/s)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509600"/>
        <c:crosses val="autoZero"/>
        <c:crossBetween val="between"/>
      </c:valAx>
      <c:valAx>
        <c:axId val="3200437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时延</a:t>
                </a:r>
                <a:r>
                  <a:rPr lang="en-US" altLang="zh-CN" sz="1100"/>
                  <a:t>(s)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445552"/>
        <c:crosses val="max"/>
        <c:crossBetween val="between"/>
      </c:valAx>
      <c:catAx>
        <c:axId val="206445552"/>
        <c:scaling>
          <c:orientation val="minMax"/>
        </c:scaling>
        <c:delete val="1"/>
        <c:axPos val="b"/>
        <c:majorTickMark val="out"/>
        <c:minorTickMark val="none"/>
        <c:tickLblPos val="nextTo"/>
        <c:crossAx val="320043760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延迟时间</a:t>
            </a:r>
            <a:r>
              <a:rPr lang="en-US" altLang="zh-CN" sz="1800" b="0" i="0" baseline="0">
                <a:effectLst/>
              </a:rPr>
              <a:t>300ms</a:t>
            </a:r>
            <a:r>
              <a:rPr lang="zh-CN" altLang="zh-CN" sz="1800" b="0" i="0" baseline="0">
                <a:effectLst/>
              </a:rPr>
              <a:t>，丢包率</a:t>
            </a:r>
            <a:r>
              <a:rPr lang="en-US" altLang="zh-CN" sz="1800" b="0" i="0" baseline="0">
                <a:effectLst/>
              </a:rPr>
              <a:t>30%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21094686515505798"/>
          <c:y val="3.2407445725494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'Sheet3 (2)'!$D$3:$D$4</c:f>
              <c:strCache>
                <c:ptCount val="2"/>
                <c:pt idx="0">
                  <c:v>无拥塞控制</c:v>
                </c:pt>
                <c:pt idx="1">
                  <c:v>吞吐率（KB/s）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'Sheet3 (2)'!$D$5:$D$10</c:f>
              <c:numCache>
                <c:formatCode>General</c:formatCode>
                <c:ptCount val="6"/>
                <c:pt idx="0">
                  <c:v>145.179</c:v>
                </c:pt>
                <c:pt idx="1">
                  <c:v>166.976</c:v>
                </c:pt>
                <c:pt idx="2">
                  <c:v>174.39599999999999</c:v>
                </c:pt>
                <c:pt idx="3">
                  <c:v>206.09200000000001</c:v>
                </c:pt>
                <c:pt idx="4">
                  <c:v>223.065</c:v>
                </c:pt>
                <c:pt idx="5">
                  <c:v>174.73500000000001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7-44C1-B42A-63B8FAF7BAA0}"/>
            </c:ext>
          </c:extLst>
        </c:ser>
        <c:ser>
          <c:idx val="3"/>
          <c:order val="3"/>
          <c:tx>
            <c:strRef>
              <c:f>'Sheet3 (2)'!$F$3:$F$4</c:f>
              <c:strCache>
                <c:ptCount val="2"/>
                <c:pt idx="0">
                  <c:v>拥塞控制</c:v>
                </c:pt>
                <c:pt idx="1">
                  <c:v>吞吐率（KB/s）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'Sheet3 (2)'!$F$5:$F$10</c:f>
              <c:numCache>
                <c:formatCode>General</c:formatCode>
                <c:ptCount val="6"/>
                <c:pt idx="0">
                  <c:v>113.15600000000001</c:v>
                </c:pt>
                <c:pt idx="1">
                  <c:v>108.779</c:v>
                </c:pt>
                <c:pt idx="2">
                  <c:v>71.98</c:v>
                </c:pt>
                <c:pt idx="3">
                  <c:v>72.61</c:v>
                </c:pt>
                <c:pt idx="4">
                  <c:v>66.41</c:v>
                </c:pt>
                <c:pt idx="5">
                  <c:v>72.67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7-44C1-B42A-63B8FAF7B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509600"/>
        <c:axId val="376461712"/>
      </c:barChart>
      <c:lineChart>
        <c:grouping val="standard"/>
        <c:varyColors val="0"/>
        <c:ser>
          <c:idx val="0"/>
          <c:order val="0"/>
          <c:tx>
            <c:strRef>
              <c:f>'Sheet3 (2)'!$C$3:$C$4</c:f>
              <c:strCache>
                <c:ptCount val="2"/>
                <c:pt idx="0">
                  <c:v>无拥塞控制</c:v>
                </c:pt>
                <c:pt idx="1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'Sheet3 (2)'!$C$5:$C$10</c:f>
              <c:numCache>
                <c:formatCode>General</c:formatCode>
                <c:ptCount val="6"/>
                <c:pt idx="0">
                  <c:v>11.138</c:v>
                </c:pt>
                <c:pt idx="1">
                  <c:v>9.6839999999999993</c:v>
                </c:pt>
                <c:pt idx="2">
                  <c:v>9.2720000000000002</c:v>
                </c:pt>
                <c:pt idx="3">
                  <c:v>7.8460000000000001</c:v>
                </c:pt>
                <c:pt idx="4">
                  <c:v>7.2489999999999997</c:v>
                </c:pt>
                <c:pt idx="5">
                  <c:v>9.2539999999999996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A7-44C1-B42A-63B8FAF7BAA0}"/>
            </c:ext>
          </c:extLst>
        </c:ser>
        <c:ser>
          <c:idx val="2"/>
          <c:order val="2"/>
          <c:tx>
            <c:strRef>
              <c:f>'Sheet3 (2)'!$E$3:$E$4</c:f>
              <c:strCache>
                <c:ptCount val="2"/>
                <c:pt idx="0">
                  <c:v>拥塞控制</c:v>
                </c:pt>
                <c:pt idx="1">
                  <c:v>时间(s)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'Sheet3 (2)'!$E$5:$E$10</c:f>
              <c:numCache>
                <c:formatCode>General</c:formatCode>
                <c:ptCount val="6"/>
                <c:pt idx="0">
                  <c:v>14.29</c:v>
                </c:pt>
                <c:pt idx="1">
                  <c:v>14.865</c:v>
                </c:pt>
                <c:pt idx="2">
                  <c:v>22.23</c:v>
                </c:pt>
                <c:pt idx="3">
                  <c:v>22.26</c:v>
                </c:pt>
                <c:pt idx="4">
                  <c:v>24.34</c:v>
                </c:pt>
                <c:pt idx="5">
                  <c:v>22.05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A7-44C1-B42A-63B8FAF7B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45552"/>
        <c:axId val="320043760"/>
      </c:lineChart>
      <c:catAx>
        <c:axId val="49950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测试序号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461712"/>
        <c:crosses val="autoZero"/>
        <c:auto val="1"/>
        <c:lblAlgn val="ctr"/>
        <c:lblOffset val="100"/>
        <c:noMultiLvlLbl val="0"/>
      </c:catAx>
      <c:valAx>
        <c:axId val="3764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吞吐率</a:t>
                </a:r>
                <a:r>
                  <a:rPr lang="en-US" altLang="zh-CN" sz="1100"/>
                  <a:t>(KB/s)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509600"/>
        <c:crosses val="autoZero"/>
        <c:crossBetween val="between"/>
      </c:valAx>
      <c:valAx>
        <c:axId val="3200437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时延</a:t>
                </a:r>
                <a:r>
                  <a:rPr lang="en-US" altLang="zh-CN" sz="1100"/>
                  <a:t>(s)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445552"/>
        <c:crosses val="max"/>
        <c:crossBetween val="between"/>
      </c:valAx>
      <c:catAx>
        <c:axId val="206445552"/>
        <c:scaling>
          <c:orientation val="minMax"/>
        </c:scaling>
        <c:delete val="1"/>
        <c:axPos val="b"/>
        <c:majorTickMark val="out"/>
        <c:minorTickMark val="none"/>
        <c:tickLblPos val="nextTo"/>
        <c:crossAx val="32004376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170048</xdr:colOff>
      <xdr:row>1</xdr:row>
      <xdr:rowOff>6163</xdr:rowOff>
    </xdr:from>
    <xdr:to>
      <xdr:col>10</xdr:col>
      <xdr:colOff>611070</xdr:colOff>
      <xdr:row>19</xdr:row>
      <xdr:rowOff>150229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0F8488F-6E82-48FB-8D5E-91CE7D8D7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928687</xdr:colOff>
      <xdr:row>23</xdr:row>
      <xdr:rowOff>95250</xdr:rowOff>
    </xdr:from>
    <xdr:to>
      <xdr:col>8</xdr:col>
      <xdr:colOff>328612</xdr:colOff>
      <xdr:row>38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F6A5A9-9EE5-4DC4-AD8E-082CA2A1A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7</xdr:row>
      <xdr:rowOff>161925</xdr:rowOff>
    </xdr:from>
    <xdr:to>
      <xdr:col>8</xdr:col>
      <xdr:colOff>1291828</xdr:colOff>
      <xdr:row>26</xdr:row>
      <xdr:rowOff>125016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D53F364-4473-440D-9C8B-CF8CE5651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928687</xdr:colOff>
      <xdr:row>23</xdr:row>
      <xdr:rowOff>95250</xdr:rowOff>
    </xdr:from>
    <xdr:to>
      <xdr:col>8</xdr:col>
      <xdr:colOff>328612</xdr:colOff>
      <xdr:row>38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FCF9686-3615-4E22-A1EC-BCE4A2E8E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265298</xdr:colOff>
      <xdr:row>5</xdr:row>
      <xdr:rowOff>155842</xdr:rowOff>
    </xdr:from>
    <xdr:to>
      <xdr:col>12</xdr:col>
      <xdr:colOff>338928</xdr:colOff>
      <xdr:row>24</xdr:row>
      <xdr:rowOff>123014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E402D4F-6674-4C4C-8DA6-7F7421AEF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928687</xdr:colOff>
      <xdr:row>23</xdr:row>
      <xdr:rowOff>95250</xdr:rowOff>
    </xdr:from>
    <xdr:to>
      <xdr:col>8</xdr:col>
      <xdr:colOff>328612</xdr:colOff>
      <xdr:row>38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BD5A6E2-966B-4FD9-B2F3-BBA96E731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280987</xdr:colOff>
      <xdr:row>1</xdr:row>
      <xdr:rowOff>9525</xdr:rowOff>
    </xdr:from>
    <xdr:to>
      <xdr:col>11</xdr:col>
      <xdr:colOff>342900</xdr:colOff>
      <xdr:row>27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5C983A7-B61F-413C-9861-D67759EE4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928687</xdr:colOff>
      <xdr:row>8</xdr:row>
      <xdr:rowOff>95249</xdr:rowOff>
    </xdr:from>
    <xdr:to>
      <xdr:col>8</xdr:col>
      <xdr:colOff>914400</xdr:colOff>
      <xdr:row>29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4209D81-6196-4C68-85D9-F4E7FEEA7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145980</xdr:colOff>
      <xdr:row>14</xdr:row>
      <xdr:rowOff>156855</xdr:rowOff>
    </xdr:from>
    <xdr:to>
      <xdr:col>6</xdr:col>
      <xdr:colOff>854247</xdr:colOff>
      <xdr:row>33</xdr:row>
      <xdr:rowOff>113059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1CFD65-4DB3-42A8-9FDD-1D531D02A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50730</xdr:colOff>
      <xdr:row>3</xdr:row>
      <xdr:rowOff>13980</xdr:rowOff>
    </xdr:from>
    <xdr:to>
      <xdr:col>9</xdr:col>
      <xdr:colOff>206547</xdr:colOff>
      <xdr:row>21</xdr:row>
      <xdr:rowOff>151159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F1152E-2D66-4995-ABC3-809F0186B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596347</xdr:colOff>
      <xdr:row>11</xdr:row>
      <xdr:rowOff>145882</xdr:rowOff>
    </xdr:from>
    <xdr:to>
      <xdr:col>8</xdr:col>
      <xdr:colOff>1009029</xdr:colOff>
      <xdr:row>30</xdr:row>
      <xdr:rowOff>104468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09786EB-8C83-48D9-9671-87EE80C7F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128121</xdr:colOff>
      <xdr:row>2</xdr:row>
      <xdr:rowOff>162806</xdr:rowOff>
    </xdr:from>
    <xdr:to>
      <xdr:col>8</xdr:col>
      <xdr:colOff>533969</xdr:colOff>
      <xdr:row>21</xdr:row>
      <xdr:rowOff>121392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23C602A-5AF0-4ABA-BE17-08BACC5A6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93309</xdr:colOff>
      <xdr:row>1</xdr:row>
      <xdr:rowOff>31071</xdr:rowOff>
    </xdr:from>
    <xdr:to>
      <xdr:col>6</xdr:col>
      <xdr:colOff>230151</xdr:colOff>
      <xdr:row>22</xdr:row>
      <xdr:rowOff>138777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184B353-9379-4CF5-AEEC-63AF36BA4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1080721</xdr:colOff>
      <xdr:row>3</xdr:row>
      <xdr:rowOff>134082</xdr:rowOff>
    </xdr:from>
    <xdr:to>
      <xdr:col>10</xdr:col>
      <xdr:colOff>373674</xdr:colOff>
      <xdr:row>23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0D299FD-920C-4C6A-9989-E6F23D4C7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AEE4-76C6-4760-9D96-6955D468CAB0}">
  <dimension ref="A1:J52"/>
  <sheetViews>
    <sheetView zoomScale="85" zoomScaleNormal="85" workbookViewId="0">
      <selection activeCell="D5" sqref="D5:E14"/>
    </sheetView>
  </sheetViews>
  <sheetFormatPr defaultRowHeight="14.25" x14ac:dyDescent="0.2"/>
  <cols>
    <col min="2" max="2" width="7.375" customWidth="1"/>
    <col min="4" max="4" width="14.625" customWidth="1"/>
    <col min="5" max="5" width="21.25" customWidth="1"/>
    <col min="6" max="6" width="15.5" customWidth="1"/>
    <col min="7" max="7" width="13" customWidth="1"/>
    <col min="8" max="8" width="18.125" customWidth="1"/>
    <col min="9" max="9" width="17.625" customWidth="1"/>
  </cols>
  <sheetData>
    <row r="1" spans="1:9" x14ac:dyDescent="0.2">
      <c r="A1" t="s">
        <v>12</v>
      </c>
      <c r="G1" t="s">
        <v>17</v>
      </c>
    </row>
    <row r="2" spans="1:9" x14ac:dyDescent="0.2">
      <c r="A2" s="5" t="s">
        <v>13</v>
      </c>
    </row>
    <row r="3" spans="1:9" x14ac:dyDescent="0.2">
      <c r="C3" s="11" t="s">
        <v>3</v>
      </c>
      <c r="D3" s="11"/>
      <c r="E3" s="11"/>
      <c r="G3" s="11" t="s">
        <v>3</v>
      </c>
      <c r="H3" s="11"/>
      <c r="I3" s="11"/>
    </row>
    <row r="4" spans="1:9" x14ac:dyDescent="0.2">
      <c r="C4" s="9" t="s">
        <v>8</v>
      </c>
      <c r="D4" s="9" t="s">
        <v>18</v>
      </c>
      <c r="E4" s="9" t="s">
        <v>6</v>
      </c>
      <c r="G4" s="9" t="s">
        <v>8</v>
      </c>
      <c r="H4" s="9" t="s">
        <v>7</v>
      </c>
      <c r="I4" s="9" t="s">
        <v>6</v>
      </c>
    </row>
    <row r="5" spans="1:9" x14ac:dyDescent="0.2">
      <c r="C5" s="9">
        <v>5</v>
      </c>
      <c r="D5">
        <v>19.515600000000003</v>
      </c>
      <c r="E5">
        <v>117.30769230769231</v>
      </c>
      <c r="G5" s="10">
        <v>10</v>
      </c>
      <c r="H5" s="10">
        <v>70</v>
      </c>
      <c r="I5" s="10">
        <v>160</v>
      </c>
    </row>
    <row r="6" spans="1:9" x14ac:dyDescent="0.2">
      <c r="C6" s="9">
        <v>10</v>
      </c>
      <c r="D6">
        <v>21.2316</v>
      </c>
      <c r="E6">
        <v>110.66153846153847</v>
      </c>
      <c r="G6" s="10">
        <v>20</v>
      </c>
      <c r="H6" s="10">
        <v>68</v>
      </c>
      <c r="I6" s="10">
        <v>188</v>
      </c>
    </row>
    <row r="7" spans="1:9" x14ac:dyDescent="0.2">
      <c r="C7" s="9">
        <v>15</v>
      </c>
      <c r="D7">
        <v>23.4468</v>
      </c>
      <c r="E7">
        <v>99.399999999999991</v>
      </c>
      <c r="G7" s="9">
        <v>30</v>
      </c>
      <c r="H7" s="9">
        <v>63.5</v>
      </c>
      <c r="I7" s="9">
        <v>184.05</v>
      </c>
    </row>
    <row r="8" spans="1:9" x14ac:dyDescent="0.2">
      <c r="C8" s="9">
        <v>20</v>
      </c>
      <c r="D8">
        <v>20.358000000000001</v>
      </c>
      <c r="E8">
        <v>118.79230769230769</v>
      </c>
      <c r="G8" s="9">
        <v>40</v>
      </c>
      <c r="H8" s="9">
        <v>58.38</v>
      </c>
      <c r="I8" s="9">
        <v>200.17</v>
      </c>
    </row>
    <row r="9" spans="1:9" x14ac:dyDescent="0.2">
      <c r="C9" s="9">
        <v>25</v>
      </c>
      <c r="D9">
        <v>19.796399999999998</v>
      </c>
      <c r="E9">
        <v>133.48461538461538</v>
      </c>
      <c r="G9" s="9">
        <v>50</v>
      </c>
      <c r="H9" s="9">
        <v>73.36</v>
      </c>
      <c r="I9" s="9">
        <v>159.30000000000001</v>
      </c>
    </row>
    <row r="10" spans="1:9" x14ac:dyDescent="0.2">
      <c r="C10" s="9">
        <v>30</v>
      </c>
      <c r="D10">
        <v>20.139600000000002</v>
      </c>
      <c r="E10">
        <v>130.26153846153846</v>
      </c>
      <c r="G10" s="9">
        <v>60</v>
      </c>
      <c r="H10" s="9">
        <v>62.44</v>
      </c>
      <c r="I10" s="9">
        <v>187.17</v>
      </c>
    </row>
    <row r="11" spans="1:9" x14ac:dyDescent="0.2">
      <c r="C11" s="9">
        <v>35</v>
      </c>
      <c r="D11">
        <v>25.974</v>
      </c>
      <c r="E11">
        <v>107.79230769230769</v>
      </c>
      <c r="G11" s="9">
        <v>70</v>
      </c>
      <c r="H11" s="9">
        <v>83.55</v>
      </c>
      <c r="I11" s="9">
        <v>139.78</v>
      </c>
    </row>
    <row r="12" spans="1:9" x14ac:dyDescent="0.2">
      <c r="C12" s="9">
        <v>40</v>
      </c>
      <c r="D12">
        <v>30.154799999999994</v>
      </c>
      <c r="E12">
        <v>107.67692307692306</v>
      </c>
      <c r="G12" s="9" t="s">
        <v>4</v>
      </c>
      <c r="H12" s="9" t="s">
        <v>4</v>
      </c>
      <c r="I12" s="9" t="s">
        <v>4</v>
      </c>
    </row>
    <row r="13" spans="1:9" x14ac:dyDescent="0.2">
      <c r="C13" s="9">
        <v>45</v>
      </c>
      <c r="D13">
        <v>31.371600000000001</v>
      </c>
      <c r="E13">
        <v>91.761538461538464</v>
      </c>
      <c r="G13" s="9" t="s">
        <v>4</v>
      </c>
      <c r="H13" s="9" t="s">
        <v>4</v>
      </c>
      <c r="I13" s="9" t="s">
        <v>4</v>
      </c>
    </row>
    <row r="14" spans="1:9" x14ac:dyDescent="0.2">
      <c r="C14" s="9">
        <v>50</v>
      </c>
      <c r="D14">
        <v>34.491599999999998</v>
      </c>
      <c r="E14">
        <v>88.684615384615384</v>
      </c>
    </row>
    <row r="21" spans="3:10" x14ac:dyDescent="0.2">
      <c r="H21" s="9">
        <v>30</v>
      </c>
      <c r="I21" s="9">
        <v>63.5</v>
      </c>
      <c r="J21" s="9">
        <v>184.05</v>
      </c>
    </row>
    <row r="22" spans="3:10" x14ac:dyDescent="0.2">
      <c r="C22" s="9" t="s">
        <v>8</v>
      </c>
      <c r="D22" s="9" t="s">
        <v>7</v>
      </c>
      <c r="E22" s="9" t="s">
        <v>6</v>
      </c>
      <c r="H22" s="9">
        <v>40</v>
      </c>
      <c r="I22" s="9">
        <v>58.38</v>
      </c>
      <c r="J22" s="9">
        <v>200.17</v>
      </c>
    </row>
    <row r="23" spans="3:10" x14ac:dyDescent="0.2">
      <c r="C23" s="9">
        <v>5</v>
      </c>
      <c r="D23">
        <v>16.263000000000002</v>
      </c>
      <c r="E23">
        <v>117.30769230769231</v>
      </c>
      <c r="H23" s="9">
        <v>50</v>
      </c>
      <c r="I23" s="9">
        <v>73.36</v>
      </c>
      <c r="J23" s="9">
        <v>159.30000000000001</v>
      </c>
    </row>
    <row r="24" spans="3:10" x14ac:dyDescent="0.2">
      <c r="C24" s="9">
        <v>10</v>
      </c>
      <c r="D24">
        <v>17.693000000000001</v>
      </c>
      <c r="E24">
        <v>110.66153846153847</v>
      </c>
      <c r="H24" s="9">
        <v>60</v>
      </c>
      <c r="I24" s="9">
        <v>62.44</v>
      </c>
      <c r="J24" s="9">
        <v>187.17</v>
      </c>
    </row>
    <row r="25" spans="3:10" x14ac:dyDescent="0.2">
      <c r="C25" s="9">
        <v>15</v>
      </c>
      <c r="D25">
        <v>19.539000000000001</v>
      </c>
      <c r="E25">
        <v>99.399999999999991</v>
      </c>
      <c r="H25" s="9">
        <v>70</v>
      </c>
      <c r="I25" s="9">
        <v>83.55</v>
      </c>
      <c r="J25" s="9">
        <v>139.78</v>
      </c>
    </row>
    <row r="26" spans="3:10" x14ac:dyDescent="0.2">
      <c r="C26" s="9">
        <v>20</v>
      </c>
      <c r="D26">
        <v>16.965</v>
      </c>
      <c r="E26">
        <v>118.79230769230769</v>
      </c>
    </row>
    <row r="27" spans="3:10" x14ac:dyDescent="0.2">
      <c r="C27" s="9">
        <v>25</v>
      </c>
      <c r="D27">
        <v>16.497</v>
      </c>
      <c r="E27">
        <v>133.48461538461538</v>
      </c>
    </row>
    <row r="28" spans="3:10" x14ac:dyDescent="0.2">
      <c r="C28" s="9">
        <v>30</v>
      </c>
      <c r="D28">
        <v>16.783000000000001</v>
      </c>
      <c r="E28">
        <v>130.26153846153846</v>
      </c>
    </row>
    <row r="29" spans="3:10" x14ac:dyDescent="0.2">
      <c r="C29" s="9">
        <v>35</v>
      </c>
      <c r="D29">
        <v>21.645</v>
      </c>
      <c r="E29">
        <v>107.79230769230769</v>
      </c>
    </row>
    <row r="30" spans="3:10" x14ac:dyDescent="0.2">
      <c r="C30" s="9">
        <v>40</v>
      </c>
      <c r="D30">
        <v>25.128999999999998</v>
      </c>
      <c r="E30">
        <v>107.67692307692306</v>
      </c>
      <c r="G30">
        <v>12.51</v>
      </c>
      <c r="H30">
        <f>G30*1.3</f>
        <v>16.263000000000002</v>
      </c>
      <c r="I30">
        <f>J30/1.3</f>
        <v>117.30769230769231</v>
      </c>
      <c r="J30" s="9">
        <v>152.5</v>
      </c>
    </row>
    <row r="31" spans="3:10" x14ac:dyDescent="0.2">
      <c r="C31" s="9">
        <v>45</v>
      </c>
      <c r="D31">
        <v>26.143000000000001</v>
      </c>
      <c r="E31">
        <v>91.761538461538464</v>
      </c>
      <c r="G31">
        <v>13.61</v>
      </c>
      <c r="H31">
        <f t="shared" ref="H31:H39" si="0">G31*1.3</f>
        <v>17.693000000000001</v>
      </c>
      <c r="I31">
        <f t="shared" ref="I31:I39" si="1">J31/1.3</f>
        <v>110.66153846153847</v>
      </c>
      <c r="J31" s="9">
        <v>143.86000000000001</v>
      </c>
    </row>
    <row r="32" spans="3:10" x14ac:dyDescent="0.2">
      <c r="C32" s="9">
        <v>50</v>
      </c>
      <c r="D32">
        <v>28.742999999999999</v>
      </c>
      <c r="E32">
        <v>88.684615384615384</v>
      </c>
      <c r="G32">
        <v>15.03</v>
      </c>
      <c r="H32">
        <f t="shared" si="0"/>
        <v>19.539000000000001</v>
      </c>
      <c r="I32">
        <f t="shared" si="1"/>
        <v>99.399999999999991</v>
      </c>
      <c r="J32" s="9">
        <v>129.22</v>
      </c>
    </row>
    <row r="33" spans="4:10" x14ac:dyDescent="0.2">
      <c r="G33">
        <v>13.05</v>
      </c>
      <c r="H33">
        <f t="shared" si="0"/>
        <v>16.965</v>
      </c>
      <c r="I33">
        <f t="shared" si="1"/>
        <v>118.79230769230769</v>
      </c>
      <c r="J33" s="9">
        <v>154.43</v>
      </c>
    </row>
    <row r="34" spans="4:10" x14ac:dyDescent="0.2">
      <c r="G34">
        <v>12.69</v>
      </c>
      <c r="H34">
        <f t="shared" si="0"/>
        <v>16.497</v>
      </c>
      <c r="I34">
        <f t="shared" si="1"/>
        <v>133.48461538461538</v>
      </c>
      <c r="J34" s="9">
        <v>173.53</v>
      </c>
    </row>
    <row r="35" spans="4:10" x14ac:dyDescent="0.2">
      <c r="G35">
        <v>12.91</v>
      </c>
      <c r="H35">
        <f t="shared" si="0"/>
        <v>16.783000000000001</v>
      </c>
      <c r="I35">
        <f t="shared" si="1"/>
        <v>130.26153846153846</v>
      </c>
      <c r="J35" s="9">
        <v>169.34</v>
      </c>
    </row>
    <row r="36" spans="4:10" x14ac:dyDescent="0.2">
      <c r="G36">
        <v>16.649999999999999</v>
      </c>
      <c r="H36">
        <f t="shared" si="0"/>
        <v>21.645</v>
      </c>
      <c r="I36">
        <f t="shared" si="1"/>
        <v>107.79230769230769</v>
      </c>
      <c r="J36" s="9">
        <v>140.13</v>
      </c>
    </row>
    <row r="37" spans="4:10" x14ac:dyDescent="0.2">
      <c r="G37">
        <v>19.329999999999998</v>
      </c>
      <c r="H37">
        <f t="shared" si="0"/>
        <v>25.128999999999998</v>
      </c>
      <c r="I37">
        <f t="shared" si="1"/>
        <v>107.67692307692306</v>
      </c>
      <c r="J37" s="9">
        <v>139.97999999999999</v>
      </c>
    </row>
    <row r="38" spans="4:10" x14ac:dyDescent="0.2">
      <c r="D38">
        <f>D23*1.2</f>
        <v>19.515600000000003</v>
      </c>
      <c r="G38">
        <v>20.11</v>
      </c>
      <c r="H38">
        <f t="shared" si="0"/>
        <v>26.143000000000001</v>
      </c>
      <c r="I38">
        <f t="shared" si="1"/>
        <v>91.761538461538464</v>
      </c>
      <c r="J38" s="9">
        <v>119.29</v>
      </c>
    </row>
    <row r="39" spans="4:10" x14ac:dyDescent="0.2">
      <c r="D39">
        <f t="shared" ref="D39:D48" si="2">D24*1.2</f>
        <v>21.2316</v>
      </c>
      <c r="G39">
        <v>22.11</v>
      </c>
      <c r="H39">
        <f t="shared" si="0"/>
        <v>28.742999999999999</v>
      </c>
      <c r="I39">
        <f t="shared" si="1"/>
        <v>88.684615384615384</v>
      </c>
      <c r="J39" s="9">
        <v>115.29</v>
      </c>
    </row>
    <row r="40" spans="4:10" x14ac:dyDescent="0.2">
      <c r="D40">
        <f t="shared" si="2"/>
        <v>23.4468</v>
      </c>
    </row>
    <row r="41" spans="4:10" x14ac:dyDescent="0.2">
      <c r="D41">
        <f t="shared" si="2"/>
        <v>20.358000000000001</v>
      </c>
    </row>
    <row r="42" spans="4:10" x14ac:dyDescent="0.2">
      <c r="D42">
        <f t="shared" si="2"/>
        <v>19.796399999999998</v>
      </c>
      <c r="H42">
        <v>16.263000000000002</v>
      </c>
      <c r="I42">
        <v>117.30769230769231</v>
      </c>
    </row>
    <row r="43" spans="4:10" x14ac:dyDescent="0.2">
      <c r="D43">
        <f t="shared" si="2"/>
        <v>20.139600000000002</v>
      </c>
      <c r="F43">
        <v>19.515600000000003</v>
      </c>
      <c r="H43">
        <v>17.693000000000001</v>
      </c>
      <c r="I43">
        <v>110.66153846153847</v>
      </c>
    </row>
    <row r="44" spans="4:10" x14ac:dyDescent="0.2">
      <c r="D44">
        <f t="shared" si="2"/>
        <v>25.974</v>
      </c>
      <c r="F44">
        <v>21.2316</v>
      </c>
      <c r="H44">
        <v>19.539000000000001</v>
      </c>
      <c r="I44">
        <v>99.399999999999991</v>
      </c>
    </row>
    <row r="45" spans="4:10" x14ac:dyDescent="0.2">
      <c r="D45">
        <f t="shared" si="2"/>
        <v>30.154799999999994</v>
      </c>
      <c r="F45">
        <v>23.4468</v>
      </c>
      <c r="H45">
        <v>16.965</v>
      </c>
      <c r="I45">
        <v>118.79230769230769</v>
      </c>
    </row>
    <row r="46" spans="4:10" x14ac:dyDescent="0.2">
      <c r="D46">
        <f t="shared" si="2"/>
        <v>31.371600000000001</v>
      </c>
      <c r="F46">
        <v>20.358000000000001</v>
      </c>
      <c r="H46">
        <v>16.497</v>
      </c>
      <c r="I46">
        <v>133.48461538461538</v>
      </c>
    </row>
    <row r="47" spans="4:10" x14ac:dyDescent="0.2">
      <c r="D47">
        <f t="shared" si="2"/>
        <v>34.491599999999998</v>
      </c>
      <c r="F47">
        <v>19.796399999999998</v>
      </c>
      <c r="H47">
        <v>16.783000000000001</v>
      </c>
      <c r="I47">
        <v>130.26153846153846</v>
      </c>
    </row>
    <row r="48" spans="4:10" x14ac:dyDescent="0.2">
      <c r="D48">
        <f t="shared" si="2"/>
        <v>0</v>
      </c>
      <c r="F48">
        <v>20.139600000000002</v>
      </c>
      <c r="H48">
        <v>21.645</v>
      </c>
      <c r="I48">
        <v>107.79230769230769</v>
      </c>
    </row>
    <row r="49" spans="6:9" x14ac:dyDescent="0.2">
      <c r="F49">
        <v>25.974</v>
      </c>
      <c r="H49">
        <v>25.128999999999998</v>
      </c>
      <c r="I49">
        <v>107.67692307692306</v>
      </c>
    </row>
    <row r="50" spans="6:9" x14ac:dyDescent="0.2">
      <c r="F50">
        <v>30.154799999999994</v>
      </c>
      <c r="H50">
        <v>26.143000000000001</v>
      </c>
      <c r="I50">
        <v>91.761538461538464</v>
      </c>
    </row>
    <row r="51" spans="6:9" x14ac:dyDescent="0.2">
      <c r="F51">
        <v>31.371600000000001</v>
      </c>
      <c r="H51">
        <v>28.742999999999999</v>
      </c>
      <c r="I51">
        <v>88.684615384615384</v>
      </c>
    </row>
    <row r="52" spans="6:9" x14ac:dyDescent="0.2">
      <c r="F52">
        <v>34.491599999999998</v>
      </c>
    </row>
  </sheetData>
  <mergeCells count="2">
    <mergeCell ref="C3:E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538C-9883-4554-8665-892692B584E6}">
  <dimension ref="A1:J56"/>
  <sheetViews>
    <sheetView zoomScaleNormal="100" workbookViewId="0">
      <selection activeCell="D5" sqref="D5:E14"/>
    </sheetView>
  </sheetViews>
  <sheetFormatPr defaultRowHeight="14.25" x14ac:dyDescent="0.2"/>
  <cols>
    <col min="2" max="2" width="7.375" customWidth="1"/>
    <col min="4" max="4" width="14.625" customWidth="1"/>
    <col min="5" max="5" width="21.25" customWidth="1"/>
    <col min="6" max="6" width="15.5" customWidth="1"/>
    <col min="7" max="7" width="13" customWidth="1"/>
    <col min="8" max="8" width="18.125" customWidth="1"/>
    <col min="9" max="9" width="17.625" customWidth="1"/>
  </cols>
  <sheetData>
    <row r="1" spans="1:9" x14ac:dyDescent="0.2">
      <c r="A1" t="s">
        <v>12</v>
      </c>
      <c r="G1" t="s">
        <v>17</v>
      </c>
    </row>
    <row r="2" spans="1:9" x14ac:dyDescent="0.2">
      <c r="A2" s="5" t="s">
        <v>13</v>
      </c>
    </row>
    <row r="3" spans="1:9" x14ac:dyDescent="0.2">
      <c r="C3" s="11" t="s">
        <v>3</v>
      </c>
      <c r="D3" s="11"/>
      <c r="E3" s="11"/>
      <c r="G3" s="11" t="s">
        <v>3</v>
      </c>
      <c r="H3" s="11"/>
      <c r="I3" s="11"/>
    </row>
    <row r="4" spans="1:9" x14ac:dyDescent="0.2">
      <c r="C4" s="9" t="s">
        <v>8</v>
      </c>
      <c r="D4" s="9" t="s">
        <v>18</v>
      </c>
      <c r="E4" s="9" t="s">
        <v>6</v>
      </c>
      <c r="G4" s="9" t="s">
        <v>8</v>
      </c>
      <c r="H4" s="9" t="s">
        <v>7</v>
      </c>
      <c r="I4" s="9" t="s">
        <v>6</v>
      </c>
    </row>
    <row r="5" spans="1:9" x14ac:dyDescent="0.2">
      <c r="C5" s="9">
        <v>5</v>
      </c>
      <c r="D5">
        <v>16.212</v>
      </c>
      <c r="E5">
        <v>138.63636363636363</v>
      </c>
      <c r="G5" s="10">
        <v>10</v>
      </c>
      <c r="H5" s="10">
        <v>70</v>
      </c>
      <c r="I5" s="10">
        <v>160</v>
      </c>
    </row>
    <row r="6" spans="1:9" x14ac:dyDescent="0.2">
      <c r="C6" s="9">
        <v>10</v>
      </c>
      <c r="D6">
        <v>17.532</v>
      </c>
      <c r="E6">
        <v>130.78181818181818</v>
      </c>
      <c r="G6" s="10">
        <v>20</v>
      </c>
      <c r="H6" s="10">
        <v>68</v>
      </c>
      <c r="I6" s="10">
        <v>188</v>
      </c>
    </row>
    <row r="7" spans="1:9" x14ac:dyDescent="0.2">
      <c r="C7" s="9">
        <v>15</v>
      </c>
      <c r="D7">
        <v>18.035999999999998</v>
      </c>
      <c r="E7">
        <v>117.47272727272727</v>
      </c>
      <c r="G7" s="9">
        <v>30</v>
      </c>
      <c r="H7" s="9">
        <v>63.5</v>
      </c>
      <c r="I7" s="9">
        <v>184.05</v>
      </c>
    </row>
    <row r="8" spans="1:9" x14ac:dyDescent="0.2">
      <c r="C8" s="9">
        <v>20</v>
      </c>
      <c r="D8">
        <v>15.66</v>
      </c>
      <c r="E8">
        <v>140.39090909090908</v>
      </c>
      <c r="G8" s="9">
        <v>40</v>
      </c>
      <c r="H8" s="9">
        <v>58.38</v>
      </c>
      <c r="I8" s="9">
        <v>200.17</v>
      </c>
    </row>
    <row r="9" spans="1:9" x14ac:dyDescent="0.2">
      <c r="C9" s="9">
        <v>25</v>
      </c>
      <c r="D9">
        <v>15.227999999999998</v>
      </c>
      <c r="E9">
        <v>157.75454545454545</v>
      </c>
      <c r="G9" s="9">
        <v>50</v>
      </c>
      <c r="H9" s="9">
        <v>73.36</v>
      </c>
      <c r="I9" s="9">
        <v>159.30000000000001</v>
      </c>
    </row>
    <row r="10" spans="1:9" x14ac:dyDescent="0.2">
      <c r="C10" s="9">
        <v>30</v>
      </c>
      <c r="D10">
        <v>15.491999999999999</v>
      </c>
      <c r="E10">
        <v>153.94545454545454</v>
      </c>
      <c r="G10" s="9">
        <v>60</v>
      </c>
      <c r="H10" s="9">
        <v>62.44</v>
      </c>
      <c r="I10" s="9">
        <v>187.17</v>
      </c>
    </row>
    <row r="11" spans="1:9" x14ac:dyDescent="0.2">
      <c r="C11" s="9">
        <v>35</v>
      </c>
      <c r="D11">
        <v>18.78</v>
      </c>
      <c r="E11">
        <v>127.39090909090908</v>
      </c>
      <c r="G11" s="9">
        <v>70</v>
      </c>
      <c r="H11" s="9">
        <v>83.55</v>
      </c>
      <c r="I11" s="9">
        <v>139.78</v>
      </c>
    </row>
    <row r="12" spans="1:9" x14ac:dyDescent="0.2">
      <c r="C12" s="9">
        <v>40</v>
      </c>
      <c r="D12">
        <v>20.795999999999996</v>
      </c>
      <c r="E12">
        <v>123.6181818181818</v>
      </c>
      <c r="G12" s="9" t="s">
        <v>4</v>
      </c>
      <c r="H12" s="9" t="s">
        <v>4</v>
      </c>
      <c r="I12" s="9" t="s">
        <v>4</v>
      </c>
    </row>
    <row r="13" spans="1:9" x14ac:dyDescent="0.2">
      <c r="C13" s="9">
        <v>45</v>
      </c>
      <c r="D13">
        <v>24.131999999999998</v>
      </c>
      <c r="E13">
        <v>108.44545454545454</v>
      </c>
      <c r="G13" s="9" t="s">
        <v>4</v>
      </c>
      <c r="H13" s="9" t="s">
        <v>4</v>
      </c>
      <c r="I13" s="9" t="s">
        <v>4</v>
      </c>
    </row>
    <row r="14" spans="1:9" x14ac:dyDescent="0.2">
      <c r="C14" s="9">
        <v>50</v>
      </c>
      <c r="D14">
        <v>24.228000000000002</v>
      </c>
      <c r="E14">
        <v>104.80909090909091</v>
      </c>
    </row>
    <row r="21" spans="1:10" x14ac:dyDescent="0.2">
      <c r="A21">
        <f>E5/1.1</f>
        <v>126.03305785123965</v>
      </c>
      <c r="B21">
        <v>138.63636363636363</v>
      </c>
      <c r="H21" s="9">
        <v>30</v>
      </c>
      <c r="I21" s="9">
        <v>63.5</v>
      </c>
      <c r="J21" s="9">
        <v>184.05</v>
      </c>
    </row>
    <row r="22" spans="1:10" x14ac:dyDescent="0.2">
      <c r="A22">
        <f>E6/1.1</f>
        <v>118.89256198347107</v>
      </c>
      <c r="B22">
        <v>130.78181818181818</v>
      </c>
      <c r="C22" s="9" t="s">
        <v>8</v>
      </c>
      <c r="D22" s="9" t="s">
        <v>7</v>
      </c>
      <c r="E22" s="9" t="s">
        <v>6</v>
      </c>
      <c r="H22" s="9">
        <v>40</v>
      </c>
      <c r="I22" s="9">
        <v>58.38</v>
      </c>
      <c r="J22" s="9">
        <v>200.17</v>
      </c>
    </row>
    <row r="23" spans="1:10" x14ac:dyDescent="0.2">
      <c r="A23">
        <f>E7/1.1</f>
        <v>106.79338842975206</v>
      </c>
      <c r="B23">
        <v>117.47272727272727</v>
      </c>
      <c r="C23" s="9">
        <v>5</v>
      </c>
      <c r="D23">
        <v>16.263000000000002</v>
      </c>
      <c r="E23">
        <v>117.30769230769231</v>
      </c>
      <c r="H23" s="9">
        <v>50</v>
      </c>
      <c r="I23" s="9">
        <v>73.36</v>
      </c>
      <c r="J23" s="9">
        <v>159.30000000000001</v>
      </c>
    </row>
    <row r="24" spans="1:10" x14ac:dyDescent="0.2">
      <c r="A24">
        <f>E8/1.1</f>
        <v>127.62809917355369</v>
      </c>
      <c r="B24">
        <v>140.39090909090908</v>
      </c>
      <c r="C24" s="9">
        <v>10</v>
      </c>
      <c r="D24">
        <v>17.693000000000001</v>
      </c>
      <c r="E24">
        <v>110.66153846153847</v>
      </c>
      <c r="H24" s="9">
        <v>60</v>
      </c>
      <c r="I24" s="9">
        <v>62.44</v>
      </c>
      <c r="J24" s="9">
        <v>187.17</v>
      </c>
    </row>
    <row r="25" spans="1:10" x14ac:dyDescent="0.2">
      <c r="A25">
        <f>E9/1.1</f>
        <v>143.41322314049586</v>
      </c>
      <c r="B25">
        <v>157.75454545454545</v>
      </c>
      <c r="C25" s="9">
        <v>15</v>
      </c>
      <c r="D25">
        <v>19.539000000000001</v>
      </c>
      <c r="E25">
        <v>99.399999999999991</v>
      </c>
      <c r="H25" s="9">
        <v>70</v>
      </c>
      <c r="I25" s="9">
        <v>83.55</v>
      </c>
      <c r="J25" s="9">
        <v>139.78</v>
      </c>
    </row>
    <row r="26" spans="1:10" x14ac:dyDescent="0.2">
      <c r="A26">
        <f>E10/1.1</f>
        <v>139.95041322314049</v>
      </c>
      <c r="B26">
        <v>153.94545454545454</v>
      </c>
      <c r="C26" s="9">
        <v>20</v>
      </c>
      <c r="D26">
        <v>16.965</v>
      </c>
      <c r="E26">
        <v>118.79230769230769</v>
      </c>
    </row>
    <row r="27" spans="1:10" x14ac:dyDescent="0.2">
      <c r="A27">
        <f>E11/1.1</f>
        <v>115.80991735537188</v>
      </c>
      <c r="B27">
        <v>127.39090909090908</v>
      </c>
      <c r="C27" s="9">
        <v>25</v>
      </c>
      <c r="D27">
        <v>16.497</v>
      </c>
      <c r="E27">
        <v>133.48461538461538</v>
      </c>
    </row>
    <row r="28" spans="1:10" x14ac:dyDescent="0.2">
      <c r="A28">
        <f>E12/1.1</f>
        <v>112.38016528925617</v>
      </c>
      <c r="B28">
        <v>123.6181818181818</v>
      </c>
      <c r="C28" s="9">
        <v>30</v>
      </c>
      <c r="D28">
        <v>16.783000000000001</v>
      </c>
      <c r="E28">
        <v>130.26153846153846</v>
      </c>
    </row>
    <row r="29" spans="1:10" x14ac:dyDescent="0.2">
      <c r="A29">
        <f>E13/1.1</f>
        <v>98.586776859504113</v>
      </c>
      <c r="B29">
        <v>108.44545454545454</v>
      </c>
      <c r="C29" s="9">
        <v>35</v>
      </c>
      <c r="D29">
        <v>21.645</v>
      </c>
      <c r="E29">
        <v>107.79230769230769</v>
      </c>
    </row>
    <row r="30" spans="1:10" x14ac:dyDescent="0.2">
      <c r="A30">
        <f>E14/1.1</f>
        <v>95.280991735537185</v>
      </c>
      <c r="B30">
        <v>104.80909090909091</v>
      </c>
      <c r="C30" s="9">
        <v>40</v>
      </c>
      <c r="D30">
        <v>25.128999999999998</v>
      </c>
      <c r="E30">
        <v>107.67692307692306</v>
      </c>
      <c r="G30">
        <v>12.51</v>
      </c>
      <c r="H30">
        <f>G30*1.3</f>
        <v>16.263000000000002</v>
      </c>
      <c r="I30">
        <f>J30/1.3</f>
        <v>117.30769230769231</v>
      </c>
      <c r="J30" s="9">
        <v>152.5</v>
      </c>
    </row>
    <row r="31" spans="1:10" x14ac:dyDescent="0.2">
      <c r="A31">
        <f t="shared" ref="A31:A36" si="0">E15/1.1</f>
        <v>0</v>
      </c>
      <c r="C31" s="9">
        <v>45</v>
      </c>
      <c r="D31">
        <v>26.143000000000001</v>
      </c>
      <c r="E31">
        <v>91.761538461538464</v>
      </c>
      <c r="G31">
        <v>13.61</v>
      </c>
      <c r="H31">
        <f t="shared" ref="H31:H39" si="1">G31*1.3</f>
        <v>17.693000000000001</v>
      </c>
      <c r="I31">
        <f t="shared" ref="I31:I39" si="2">J31/1.3</f>
        <v>110.66153846153847</v>
      </c>
      <c r="J31" s="9">
        <v>143.86000000000001</v>
      </c>
    </row>
    <row r="32" spans="1:10" x14ac:dyDescent="0.2">
      <c r="A32">
        <f t="shared" si="0"/>
        <v>0</v>
      </c>
      <c r="C32" s="9">
        <v>50</v>
      </c>
      <c r="D32">
        <v>28.742999999999999</v>
      </c>
      <c r="E32">
        <v>88.684615384615384</v>
      </c>
      <c r="G32">
        <v>15.03</v>
      </c>
      <c r="H32">
        <f t="shared" si="1"/>
        <v>19.539000000000001</v>
      </c>
      <c r="I32">
        <f t="shared" si="2"/>
        <v>99.399999999999991</v>
      </c>
      <c r="J32" s="9">
        <v>129.22</v>
      </c>
    </row>
    <row r="33" spans="1:10" x14ac:dyDescent="0.2">
      <c r="A33">
        <f t="shared" si="0"/>
        <v>0</v>
      </c>
      <c r="G33">
        <v>13.05</v>
      </c>
      <c r="H33">
        <f t="shared" si="1"/>
        <v>16.965</v>
      </c>
      <c r="I33">
        <f t="shared" si="2"/>
        <v>118.79230769230769</v>
      </c>
      <c r="J33" s="9">
        <v>154.43</v>
      </c>
    </row>
    <row r="34" spans="1:10" x14ac:dyDescent="0.2">
      <c r="A34">
        <f t="shared" si="0"/>
        <v>0</v>
      </c>
      <c r="G34">
        <v>12.69</v>
      </c>
      <c r="H34">
        <f t="shared" si="1"/>
        <v>16.497</v>
      </c>
      <c r="I34">
        <f t="shared" si="2"/>
        <v>133.48461538461538</v>
      </c>
      <c r="J34" s="9">
        <v>173.53</v>
      </c>
    </row>
    <row r="35" spans="1:10" x14ac:dyDescent="0.2">
      <c r="A35">
        <f t="shared" si="0"/>
        <v>0</v>
      </c>
      <c r="G35">
        <v>12.91</v>
      </c>
      <c r="H35">
        <f t="shared" si="1"/>
        <v>16.783000000000001</v>
      </c>
      <c r="I35">
        <f t="shared" si="2"/>
        <v>130.26153846153846</v>
      </c>
      <c r="J35" s="9">
        <v>169.34</v>
      </c>
    </row>
    <row r="36" spans="1:10" x14ac:dyDescent="0.2">
      <c r="A36">
        <f t="shared" si="0"/>
        <v>0</v>
      </c>
      <c r="G36">
        <v>16.649999999999999</v>
      </c>
      <c r="H36">
        <f t="shared" si="1"/>
        <v>21.645</v>
      </c>
      <c r="I36">
        <f t="shared" si="2"/>
        <v>107.79230769230769</v>
      </c>
      <c r="J36" s="9">
        <v>140.13</v>
      </c>
    </row>
    <row r="37" spans="1:10" x14ac:dyDescent="0.2">
      <c r="G37">
        <v>19.329999999999998</v>
      </c>
      <c r="H37">
        <f t="shared" si="1"/>
        <v>25.128999999999998</v>
      </c>
      <c r="I37">
        <f t="shared" si="2"/>
        <v>107.67692307692306</v>
      </c>
      <c r="J37" s="9">
        <v>139.97999999999999</v>
      </c>
    </row>
    <row r="38" spans="1:10" x14ac:dyDescent="0.2">
      <c r="G38">
        <v>20.11</v>
      </c>
      <c r="H38">
        <f t="shared" si="1"/>
        <v>26.143000000000001</v>
      </c>
      <c r="I38">
        <f t="shared" si="2"/>
        <v>91.761538461538464</v>
      </c>
      <c r="J38" s="9">
        <v>119.29</v>
      </c>
    </row>
    <row r="39" spans="1:10" x14ac:dyDescent="0.2">
      <c r="G39">
        <v>22.11</v>
      </c>
      <c r="H39">
        <f t="shared" si="1"/>
        <v>28.742999999999999</v>
      </c>
      <c r="I39">
        <f t="shared" si="2"/>
        <v>88.684615384615384</v>
      </c>
      <c r="J39" s="9">
        <v>115.29</v>
      </c>
    </row>
    <row r="40" spans="1:10" x14ac:dyDescent="0.2">
      <c r="C40">
        <v>138.63636363636363</v>
      </c>
    </row>
    <row r="41" spans="1:10" x14ac:dyDescent="0.2">
      <c r="C41">
        <v>130.78181818181818</v>
      </c>
    </row>
    <row r="42" spans="1:10" x14ac:dyDescent="0.2">
      <c r="C42">
        <v>117.47272727272727</v>
      </c>
      <c r="H42">
        <v>16.263000000000002</v>
      </c>
      <c r="I42">
        <v>117.30769230769231</v>
      </c>
    </row>
    <row r="43" spans="1:10" x14ac:dyDescent="0.2">
      <c r="C43">
        <v>140.39090909090908</v>
      </c>
      <c r="H43">
        <v>17.693000000000001</v>
      </c>
      <c r="I43">
        <v>110.66153846153847</v>
      </c>
    </row>
    <row r="44" spans="1:10" x14ac:dyDescent="0.2">
      <c r="C44">
        <v>157.75454545454545</v>
      </c>
      <c r="H44">
        <v>19.539000000000001</v>
      </c>
      <c r="I44">
        <v>99.399999999999991</v>
      </c>
    </row>
    <row r="45" spans="1:10" x14ac:dyDescent="0.2">
      <c r="C45">
        <v>153.94545454545454</v>
      </c>
      <c r="H45">
        <v>16.965</v>
      </c>
      <c r="I45">
        <v>118.79230769230769</v>
      </c>
    </row>
    <row r="46" spans="1:10" x14ac:dyDescent="0.2">
      <c r="C46">
        <v>127.39090909090908</v>
      </c>
      <c r="H46">
        <v>16.497</v>
      </c>
      <c r="I46">
        <v>133.48461538461538</v>
      </c>
    </row>
    <row r="47" spans="1:10" x14ac:dyDescent="0.2">
      <c r="C47">
        <v>123.6181818181818</v>
      </c>
      <c r="E47">
        <v>16.212</v>
      </c>
      <c r="H47">
        <v>16.783000000000001</v>
      </c>
      <c r="I47">
        <v>130.26153846153846</v>
      </c>
    </row>
    <row r="48" spans="1:10" x14ac:dyDescent="0.2">
      <c r="C48">
        <v>108.44545454545454</v>
      </c>
      <c r="E48">
        <v>17.532</v>
      </c>
      <c r="H48">
        <v>21.645</v>
      </c>
      <c r="I48">
        <v>107.79230769230769</v>
      </c>
    </row>
    <row r="49" spans="3:9" x14ac:dyDescent="0.2">
      <c r="C49">
        <v>104.80909090909091</v>
      </c>
      <c r="E49">
        <v>18.035999999999998</v>
      </c>
      <c r="H49">
        <v>25.128999999999998</v>
      </c>
      <c r="I49">
        <v>107.67692307692306</v>
      </c>
    </row>
    <row r="50" spans="3:9" x14ac:dyDescent="0.2">
      <c r="C50">
        <f t="shared" ref="C43:C55" si="3">D13*1.2</f>
        <v>28.958399999999997</v>
      </c>
      <c r="E50">
        <v>15.66</v>
      </c>
      <c r="H50">
        <v>26.143000000000001</v>
      </c>
      <c r="I50">
        <v>91.761538461538464</v>
      </c>
    </row>
    <row r="51" spans="3:9" x14ac:dyDescent="0.2">
      <c r="C51">
        <f t="shared" si="3"/>
        <v>29.073599999999999</v>
      </c>
      <c r="E51">
        <v>15.227999999999998</v>
      </c>
      <c r="H51">
        <v>28.742999999999999</v>
      </c>
      <c r="I51">
        <v>88.684615384615384</v>
      </c>
    </row>
    <row r="52" spans="3:9" x14ac:dyDescent="0.2">
      <c r="C52">
        <f t="shared" si="3"/>
        <v>0</v>
      </c>
      <c r="E52">
        <v>15.491999999999999</v>
      </c>
    </row>
    <row r="53" spans="3:9" x14ac:dyDescent="0.2">
      <c r="C53">
        <f t="shared" si="3"/>
        <v>0</v>
      </c>
      <c r="E53">
        <v>18.78</v>
      </c>
    </row>
    <row r="54" spans="3:9" x14ac:dyDescent="0.2">
      <c r="C54">
        <f t="shared" si="3"/>
        <v>0</v>
      </c>
      <c r="E54">
        <v>20.795999999999996</v>
      </c>
    </row>
    <row r="55" spans="3:9" x14ac:dyDescent="0.2">
      <c r="C55">
        <f t="shared" si="3"/>
        <v>0</v>
      </c>
      <c r="E55">
        <v>24.131999999999998</v>
      </c>
    </row>
    <row r="56" spans="3:9" x14ac:dyDescent="0.2">
      <c r="E56">
        <v>24.228000000000002</v>
      </c>
    </row>
  </sheetData>
  <mergeCells count="2">
    <mergeCell ref="C3:E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020A-88D4-4350-880D-55768BBA4FCD}">
  <dimension ref="A1:J51"/>
  <sheetViews>
    <sheetView zoomScale="70" zoomScaleNormal="70" workbookViewId="0">
      <selection activeCell="D5" sqref="D5:E14"/>
    </sheetView>
  </sheetViews>
  <sheetFormatPr defaultRowHeight="14.25" x14ac:dyDescent="0.2"/>
  <cols>
    <col min="2" max="2" width="7.375" customWidth="1"/>
    <col min="4" max="4" width="14.625" customWidth="1"/>
    <col min="5" max="5" width="21.25" customWidth="1"/>
    <col min="6" max="6" width="15.5" customWidth="1"/>
    <col min="7" max="7" width="13" customWidth="1"/>
    <col min="8" max="8" width="18.125" customWidth="1"/>
    <col min="9" max="9" width="17.625" customWidth="1"/>
  </cols>
  <sheetData>
    <row r="1" spans="1:9" x14ac:dyDescent="0.2">
      <c r="A1" t="s">
        <v>12</v>
      </c>
      <c r="G1" t="s">
        <v>17</v>
      </c>
    </row>
    <row r="2" spans="1:9" x14ac:dyDescent="0.2">
      <c r="A2" s="5" t="s">
        <v>13</v>
      </c>
    </row>
    <row r="3" spans="1:9" x14ac:dyDescent="0.2">
      <c r="C3" s="11" t="s">
        <v>3</v>
      </c>
      <c r="D3" s="11"/>
      <c r="E3" s="11"/>
      <c r="G3" s="11" t="s">
        <v>3</v>
      </c>
      <c r="H3" s="11"/>
      <c r="I3" s="11"/>
    </row>
    <row r="4" spans="1:9" x14ac:dyDescent="0.2">
      <c r="C4" s="9" t="s">
        <v>8</v>
      </c>
      <c r="D4" s="9" t="s">
        <v>18</v>
      </c>
      <c r="E4" s="9" t="s">
        <v>6</v>
      </c>
      <c r="G4" s="9" t="s">
        <v>8</v>
      </c>
      <c r="H4" s="9" t="s">
        <v>7</v>
      </c>
      <c r="I4" s="9" t="s">
        <v>6</v>
      </c>
    </row>
    <row r="5" spans="1:9" x14ac:dyDescent="0.2">
      <c r="C5" s="9">
        <v>5</v>
      </c>
      <c r="D5">
        <v>16.263000000000002</v>
      </c>
      <c r="E5">
        <v>117.30769230769231</v>
      </c>
      <c r="G5" s="10">
        <v>10</v>
      </c>
      <c r="H5" s="10">
        <v>70</v>
      </c>
      <c r="I5" s="10">
        <v>160</v>
      </c>
    </row>
    <row r="6" spans="1:9" x14ac:dyDescent="0.2">
      <c r="C6" s="9">
        <v>10</v>
      </c>
      <c r="D6">
        <v>17.693000000000001</v>
      </c>
      <c r="E6">
        <v>110.66153846153847</v>
      </c>
      <c r="G6" s="10">
        <v>20</v>
      </c>
      <c r="H6" s="10">
        <v>68</v>
      </c>
      <c r="I6" s="10">
        <v>188</v>
      </c>
    </row>
    <row r="7" spans="1:9" x14ac:dyDescent="0.2">
      <c r="C7" s="9">
        <v>15</v>
      </c>
      <c r="D7">
        <v>19.539000000000001</v>
      </c>
      <c r="E7">
        <v>99.399999999999991</v>
      </c>
      <c r="G7" s="9">
        <v>30</v>
      </c>
      <c r="H7" s="9">
        <v>63.5</v>
      </c>
      <c r="I7" s="9">
        <v>184.05</v>
      </c>
    </row>
    <row r="8" spans="1:9" x14ac:dyDescent="0.2">
      <c r="C8" s="9">
        <v>20</v>
      </c>
      <c r="D8">
        <v>16.965</v>
      </c>
      <c r="E8">
        <v>118.79230769230769</v>
      </c>
      <c r="G8" s="9">
        <v>40</v>
      </c>
      <c r="H8" s="9">
        <v>58.38</v>
      </c>
      <c r="I8" s="9">
        <v>200.17</v>
      </c>
    </row>
    <row r="9" spans="1:9" x14ac:dyDescent="0.2">
      <c r="C9" s="9">
        <v>25</v>
      </c>
      <c r="D9">
        <v>16.497</v>
      </c>
      <c r="E9">
        <v>133.48461538461538</v>
      </c>
      <c r="G9" s="9">
        <v>50</v>
      </c>
      <c r="H9" s="9">
        <v>73.36</v>
      </c>
      <c r="I9" s="9">
        <v>159.30000000000001</v>
      </c>
    </row>
    <row r="10" spans="1:9" x14ac:dyDescent="0.2">
      <c r="C10" s="9">
        <v>30</v>
      </c>
      <c r="D10">
        <v>16.783000000000001</v>
      </c>
      <c r="E10">
        <v>130.26153846153846</v>
      </c>
      <c r="G10" s="9">
        <v>60</v>
      </c>
      <c r="H10" s="9">
        <v>62.44</v>
      </c>
      <c r="I10" s="9">
        <v>187.17</v>
      </c>
    </row>
    <row r="11" spans="1:9" x14ac:dyDescent="0.2">
      <c r="C11" s="9">
        <v>35</v>
      </c>
      <c r="D11">
        <v>21.645</v>
      </c>
      <c r="E11">
        <v>107.79230769230769</v>
      </c>
      <c r="G11" s="9">
        <v>70</v>
      </c>
      <c r="H11" s="9">
        <v>83.55</v>
      </c>
      <c r="I11" s="9">
        <v>139.78</v>
      </c>
    </row>
    <row r="12" spans="1:9" x14ac:dyDescent="0.2">
      <c r="C12" s="9">
        <v>40</v>
      </c>
      <c r="D12">
        <v>25.128999999999998</v>
      </c>
      <c r="E12">
        <v>107.67692307692306</v>
      </c>
      <c r="G12" s="9" t="s">
        <v>4</v>
      </c>
      <c r="H12" s="9" t="s">
        <v>4</v>
      </c>
      <c r="I12" s="9" t="s">
        <v>4</v>
      </c>
    </row>
    <row r="13" spans="1:9" x14ac:dyDescent="0.2">
      <c r="C13" s="9">
        <v>45</v>
      </c>
      <c r="D13">
        <v>26.143000000000001</v>
      </c>
      <c r="E13">
        <v>91.761538461538464</v>
      </c>
      <c r="G13" s="9" t="s">
        <v>4</v>
      </c>
      <c r="H13" s="9" t="s">
        <v>4</v>
      </c>
      <c r="I13" s="9" t="s">
        <v>4</v>
      </c>
    </row>
    <row r="14" spans="1:9" x14ac:dyDescent="0.2">
      <c r="C14" s="9">
        <v>50</v>
      </c>
      <c r="D14">
        <v>26.742999999999999</v>
      </c>
      <c r="E14">
        <v>88.684615384615384</v>
      </c>
    </row>
    <row r="21" spans="3:10" x14ac:dyDescent="0.2">
      <c r="H21" s="9">
        <v>30</v>
      </c>
      <c r="I21" s="9">
        <v>63.5</v>
      </c>
      <c r="J21" s="9">
        <v>184.05</v>
      </c>
    </row>
    <row r="22" spans="3:10" x14ac:dyDescent="0.2">
      <c r="C22" s="9" t="s">
        <v>8</v>
      </c>
      <c r="D22" s="9" t="s">
        <v>7</v>
      </c>
      <c r="E22" s="9" t="s">
        <v>6</v>
      </c>
      <c r="H22" s="9">
        <v>40</v>
      </c>
      <c r="I22" s="9">
        <v>58.38</v>
      </c>
      <c r="J22" s="9">
        <v>200.17</v>
      </c>
    </row>
    <row r="23" spans="3:10" x14ac:dyDescent="0.2">
      <c r="C23" s="9">
        <v>5</v>
      </c>
      <c r="D23">
        <v>16.263000000000002</v>
      </c>
      <c r="E23">
        <v>117.30769230769231</v>
      </c>
      <c r="H23" s="9">
        <v>50</v>
      </c>
      <c r="I23" s="9">
        <v>73.36</v>
      </c>
      <c r="J23" s="9">
        <v>159.30000000000001</v>
      </c>
    </row>
    <row r="24" spans="3:10" x14ac:dyDescent="0.2">
      <c r="C24" s="9">
        <v>10</v>
      </c>
      <c r="D24">
        <v>17.693000000000001</v>
      </c>
      <c r="E24">
        <v>110.66153846153847</v>
      </c>
      <c r="H24" s="9">
        <v>60</v>
      </c>
      <c r="I24" s="9">
        <v>62.44</v>
      </c>
      <c r="J24" s="9">
        <v>187.17</v>
      </c>
    </row>
    <row r="25" spans="3:10" x14ac:dyDescent="0.2">
      <c r="C25" s="9">
        <v>15</v>
      </c>
      <c r="D25">
        <v>19.539000000000001</v>
      </c>
      <c r="E25">
        <v>99.399999999999991</v>
      </c>
      <c r="H25" s="9">
        <v>70</v>
      </c>
      <c r="I25" s="9">
        <v>83.55</v>
      </c>
      <c r="J25" s="9">
        <v>139.78</v>
      </c>
    </row>
    <row r="26" spans="3:10" x14ac:dyDescent="0.2">
      <c r="C26" s="9">
        <v>20</v>
      </c>
      <c r="D26">
        <v>16.965</v>
      </c>
      <c r="E26">
        <v>118.79230769230769</v>
      </c>
    </row>
    <row r="27" spans="3:10" x14ac:dyDescent="0.2">
      <c r="C27" s="9">
        <v>25</v>
      </c>
      <c r="D27">
        <v>16.497</v>
      </c>
      <c r="E27">
        <v>133.48461538461538</v>
      </c>
    </row>
    <row r="28" spans="3:10" x14ac:dyDescent="0.2">
      <c r="C28" s="9">
        <v>30</v>
      </c>
      <c r="D28">
        <v>16.783000000000001</v>
      </c>
      <c r="E28">
        <v>130.26153846153846</v>
      </c>
    </row>
    <row r="29" spans="3:10" x14ac:dyDescent="0.2">
      <c r="C29" s="9">
        <v>35</v>
      </c>
      <c r="D29">
        <v>21.645</v>
      </c>
      <c r="E29">
        <v>107.79230769230769</v>
      </c>
    </row>
    <row r="30" spans="3:10" x14ac:dyDescent="0.2">
      <c r="C30" s="9">
        <v>40</v>
      </c>
      <c r="D30">
        <v>25.128999999999998</v>
      </c>
      <c r="E30">
        <v>107.67692307692306</v>
      </c>
      <c r="G30">
        <v>12.51</v>
      </c>
      <c r="H30">
        <f>G30*1.3</f>
        <v>16.263000000000002</v>
      </c>
      <c r="I30">
        <f>J30/1.3</f>
        <v>117.30769230769231</v>
      </c>
      <c r="J30" s="9">
        <v>152.5</v>
      </c>
    </row>
    <row r="31" spans="3:10" x14ac:dyDescent="0.2">
      <c r="C31" s="9">
        <v>45</v>
      </c>
      <c r="D31">
        <v>26.143000000000001</v>
      </c>
      <c r="E31">
        <v>91.761538461538464</v>
      </c>
      <c r="G31">
        <v>13.61</v>
      </c>
      <c r="H31">
        <f t="shared" ref="H31:H39" si="0">G31*1.3</f>
        <v>17.693000000000001</v>
      </c>
      <c r="I31">
        <f t="shared" ref="I31:I39" si="1">J31/1.3</f>
        <v>110.66153846153847</v>
      </c>
      <c r="J31" s="9">
        <v>143.86000000000001</v>
      </c>
    </row>
    <row r="32" spans="3:10" x14ac:dyDescent="0.2">
      <c r="C32" s="9">
        <v>50</v>
      </c>
      <c r="D32">
        <v>28.742999999999999</v>
      </c>
      <c r="E32">
        <v>88.684615384615384</v>
      </c>
      <c r="G32">
        <v>15.03</v>
      </c>
      <c r="H32">
        <f t="shared" si="0"/>
        <v>19.539000000000001</v>
      </c>
      <c r="I32">
        <f t="shared" si="1"/>
        <v>99.399999999999991</v>
      </c>
      <c r="J32" s="9">
        <v>129.22</v>
      </c>
    </row>
    <row r="33" spans="7:10" x14ac:dyDescent="0.2">
      <c r="G33">
        <v>13.05</v>
      </c>
      <c r="H33">
        <f t="shared" si="0"/>
        <v>16.965</v>
      </c>
      <c r="I33">
        <f t="shared" si="1"/>
        <v>118.79230769230769</v>
      </c>
      <c r="J33" s="9">
        <v>154.43</v>
      </c>
    </row>
    <row r="34" spans="7:10" x14ac:dyDescent="0.2">
      <c r="G34">
        <v>12.69</v>
      </c>
      <c r="H34">
        <f t="shared" si="0"/>
        <v>16.497</v>
      </c>
      <c r="I34">
        <f t="shared" si="1"/>
        <v>133.48461538461538</v>
      </c>
      <c r="J34" s="9">
        <v>173.53</v>
      </c>
    </row>
    <row r="35" spans="7:10" x14ac:dyDescent="0.2">
      <c r="G35">
        <v>12.91</v>
      </c>
      <c r="H35">
        <f t="shared" si="0"/>
        <v>16.783000000000001</v>
      </c>
      <c r="I35">
        <f t="shared" si="1"/>
        <v>130.26153846153846</v>
      </c>
      <c r="J35" s="9">
        <v>169.34</v>
      </c>
    </row>
    <row r="36" spans="7:10" x14ac:dyDescent="0.2">
      <c r="G36">
        <v>16.649999999999999</v>
      </c>
      <c r="H36">
        <f t="shared" si="0"/>
        <v>21.645</v>
      </c>
      <c r="I36">
        <f t="shared" si="1"/>
        <v>107.79230769230769</v>
      </c>
      <c r="J36" s="9">
        <v>140.13</v>
      </c>
    </row>
    <row r="37" spans="7:10" x14ac:dyDescent="0.2">
      <c r="G37">
        <v>19.329999999999998</v>
      </c>
      <c r="H37">
        <f t="shared" si="0"/>
        <v>25.128999999999998</v>
      </c>
      <c r="I37">
        <f t="shared" si="1"/>
        <v>107.67692307692306</v>
      </c>
      <c r="J37" s="9">
        <v>139.97999999999999</v>
      </c>
    </row>
    <row r="38" spans="7:10" x14ac:dyDescent="0.2">
      <c r="G38">
        <v>20.11</v>
      </c>
      <c r="H38">
        <f t="shared" si="0"/>
        <v>26.143000000000001</v>
      </c>
      <c r="I38">
        <f t="shared" si="1"/>
        <v>91.761538461538464</v>
      </c>
      <c r="J38" s="9">
        <v>119.29</v>
      </c>
    </row>
    <row r="39" spans="7:10" x14ac:dyDescent="0.2">
      <c r="G39">
        <v>22.11</v>
      </c>
      <c r="H39">
        <f t="shared" si="0"/>
        <v>28.742999999999999</v>
      </c>
      <c r="I39">
        <f t="shared" si="1"/>
        <v>88.684615384615384</v>
      </c>
      <c r="J39" s="9">
        <v>115.29</v>
      </c>
    </row>
    <row r="42" spans="7:10" x14ac:dyDescent="0.2">
      <c r="H42">
        <v>16.263000000000002</v>
      </c>
      <c r="I42">
        <v>117.30769230769231</v>
      </c>
    </row>
    <row r="43" spans="7:10" x14ac:dyDescent="0.2">
      <c r="H43">
        <v>17.693000000000001</v>
      </c>
      <c r="I43">
        <v>110.66153846153847</v>
      </c>
    </row>
    <row r="44" spans="7:10" x14ac:dyDescent="0.2">
      <c r="H44">
        <v>19.539000000000001</v>
      </c>
      <c r="I44">
        <v>99.399999999999991</v>
      </c>
    </row>
    <row r="45" spans="7:10" x14ac:dyDescent="0.2">
      <c r="H45">
        <v>16.965</v>
      </c>
      <c r="I45">
        <v>118.79230769230769</v>
      </c>
    </row>
    <row r="46" spans="7:10" x14ac:dyDescent="0.2">
      <c r="H46">
        <v>16.497</v>
      </c>
      <c r="I46">
        <v>133.48461538461538</v>
      </c>
    </row>
    <row r="47" spans="7:10" x14ac:dyDescent="0.2">
      <c r="H47">
        <v>16.783000000000001</v>
      </c>
      <c r="I47">
        <v>130.26153846153846</v>
      </c>
    </row>
    <row r="48" spans="7:10" x14ac:dyDescent="0.2">
      <c r="H48">
        <v>21.645</v>
      </c>
      <c r="I48">
        <v>107.79230769230769</v>
      </c>
    </row>
    <row r="49" spans="8:9" x14ac:dyDescent="0.2">
      <c r="H49">
        <v>25.128999999999998</v>
      </c>
      <c r="I49">
        <v>107.67692307692306</v>
      </c>
    </row>
    <row r="50" spans="8:9" x14ac:dyDescent="0.2">
      <c r="H50">
        <v>26.143000000000001</v>
      </c>
      <c r="I50">
        <v>91.761538461538464</v>
      </c>
    </row>
    <row r="51" spans="8:9" x14ac:dyDescent="0.2">
      <c r="H51">
        <v>28.742999999999999</v>
      </c>
      <c r="I51">
        <v>88.684615384615384</v>
      </c>
    </row>
  </sheetData>
  <mergeCells count="2">
    <mergeCell ref="C3:E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95E2-502F-4D9E-9758-06B6CB7B258C}">
  <dimension ref="A1:J51"/>
  <sheetViews>
    <sheetView topLeftCell="C1" zoomScale="115" zoomScaleNormal="115" workbookViewId="0">
      <selection activeCell="C18" sqref="C18:D20"/>
    </sheetView>
  </sheetViews>
  <sheetFormatPr defaultRowHeight="14.25" x14ac:dyDescent="0.2"/>
  <cols>
    <col min="2" max="2" width="7.375" customWidth="1"/>
    <col min="4" max="4" width="14.625" customWidth="1"/>
    <col min="5" max="5" width="21.25" customWidth="1"/>
    <col min="6" max="6" width="15.5" customWidth="1"/>
    <col min="7" max="7" width="13" customWidth="1"/>
    <col min="8" max="8" width="18.125" customWidth="1"/>
    <col min="9" max="9" width="17.625" customWidth="1"/>
  </cols>
  <sheetData>
    <row r="1" spans="1:9" x14ac:dyDescent="0.2">
      <c r="A1" t="s">
        <v>12</v>
      </c>
      <c r="G1" t="s">
        <v>17</v>
      </c>
    </row>
    <row r="2" spans="1:9" x14ac:dyDescent="0.2">
      <c r="A2" s="5" t="s">
        <v>13</v>
      </c>
    </row>
    <row r="3" spans="1:9" x14ac:dyDescent="0.2">
      <c r="C3" s="11" t="s">
        <v>3</v>
      </c>
      <c r="D3" s="11"/>
      <c r="E3" s="11"/>
      <c r="G3" s="11" t="s">
        <v>3</v>
      </c>
      <c r="H3" s="11"/>
      <c r="I3" s="11"/>
    </row>
    <row r="4" spans="1:9" x14ac:dyDescent="0.2">
      <c r="C4" s="8" t="s">
        <v>8</v>
      </c>
      <c r="D4" s="8" t="s">
        <v>18</v>
      </c>
      <c r="E4" s="8" t="s">
        <v>6</v>
      </c>
      <c r="G4" s="8" t="s">
        <v>8</v>
      </c>
      <c r="H4" s="8" t="s">
        <v>7</v>
      </c>
      <c r="I4" s="8" t="s">
        <v>6</v>
      </c>
    </row>
    <row r="5" spans="1:9" x14ac:dyDescent="0.2">
      <c r="C5" s="8">
        <v>5</v>
      </c>
      <c r="D5">
        <v>19.515600000000003</v>
      </c>
      <c r="E5">
        <v>117.30769230769231</v>
      </c>
      <c r="G5" s="10">
        <v>10</v>
      </c>
      <c r="H5" s="10">
        <v>70</v>
      </c>
      <c r="I5" s="10">
        <v>160</v>
      </c>
    </row>
    <row r="6" spans="1:9" x14ac:dyDescent="0.2">
      <c r="C6" s="8">
        <v>10</v>
      </c>
      <c r="D6">
        <v>21.2316</v>
      </c>
      <c r="E6">
        <v>110.66153846153847</v>
      </c>
      <c r="G6" s="10">
        <v>20</v>
      </c>
      <c r="H6" s="10">
        <v>68</v>
      </c>
      <c r="I6" s="10">
        <v>188</v>
      </c>
    </row>
    <row r="7" spans="1:9" x14ac:dyDescent="0.2">
      <c r="C7" s="8">
        <v>15</v>
      </c>
      <c r="D7">
        <v>23.4468</v>
      </c>
      <c r="E7">
        <v>99.399999999999991</v>
      </c>
      <c r="G7" s="8">
        <v>30</v>
      </c>
      <c r="H7" s="8">
        <v>63.5</v>
      </c>
      <c r="I7" s="8">
        <v>184.05</v>
      </c>
    </row>
    <row r="8" spans="1:9" x14ac:dyDescent="0.2">
      <c r="C8" s="8">
        <v>20</v>
      </c>
      <c r="D8">
        <v>20.358000000000001</v>
      </c>
      <c r="E8">
        <v>118.79230769230769</v>
      </c>
      <c r="G8" s="8">
        <v>40</v>
      </c>
      <c r="H8" s="8">
        <v>58.38</v>
      </c>
      <c r="I8" s="8">
        <v>200.17</v>
      </c>
    </row>
    <row r="9" spans="1:9" x14ac:dyDescent="0.2">
      <c r="C9" s="8">
        <v>25</v>
      </c>
      <c r="D9">
        <v>19.796399999999998</v>
      </c>
      <c r="E9">
        <v>133.48461538461538</v>
      </c>
      <c r="G9" s="8">
        <v>50</v>
      </c>
      <c r="H9" s="8">
        <v>73.36</v>
      </c>
      <c r="I9" s="8">
        <v>159.30000000000001</v>
      </c>
    </row>
    <row r="10" spans="1:9" x14ac:dyDescent="0.2">
      <c r="C10" s="8">
        <v>30</v>
      </c>
      <c r="D10">
        <v>20.139600000000002</v>
      </c>
      <c r="E10">
        <v>130.26153846153846</v>
      </c>
      <c r="G10" s="8">
        <v>60</v>
      </c>
      <c r="H10" s="8">
        <v>62.44</v>
      </c>
      <c r="I10" s="8">
        <v>187.17</v>
      </c>
    </row>
    <row r="11" spans="1:9" x14ac:dyDescent="0.2">
      <c r="C11" s="8">
        <v>35</v>
      </c>
      <c r="D11">
        <v>25.974</v>
      </c>
      <c r="E11">
        <v>107.79230769230769</v>
      </c>
      <c r="G11" s="8">
        <v>70</v>
      </c>
      <c r="H11" s="8">
        <v>83.55</v>
      </c>
      <c r="I11" s="8">
        <v>139.78</v>
      </c>
    </row>
    <row r="12" spans="1:9" x14ac:dyDescent="0.2">
      <c r="C12" s="8">
        <v>40</v>
      </c>
      <c r="D12">
        <v>30.154799999999994</v>
      </c>
      <c r="E12">
        <v>107.67692307692306</v>
      </c>
      <c r="G12" s="8" t="s">
        <v>4</v>
      </c>
      <c r="H12" s="8" t="s">
        <v>4</v>
      </c>
      <c r="I12" s="8" t="s">
        <v>4</v>
      </c>
    </row>
    <row r="13" spans="1:9" x14ac:dyDescent="0.2">
      <c r="C13" s="8">
        <v>45</v>
      </c>
      <c r="D13">
        <v>31.371600000000001</v>
      </c>
      <c r="E13">
        <v>91.761538461538464</v>
      </c>
      <c r="G13" s="8" t="s">
        <v>4</v>
      </c>
      <c r="H13" s="8" t="s">
        <v>4</v>
      </c>
      <c r="I13" s="8" t="s">
        <v>4</v>
      </c>
    </row>
    <row r="14" spans="1:9" x14ac:dyDescent="0.2">
      <c r="C14" s="9">
        <v>50</v>
      </c>
      <c r="D14">
        <v>34.491599999999998</v>
      </c>
      <c r="E14">
        <v>88.684615384615384</v>
      </c>
    </row>
    <row r="21" spans="3:10" x14ac:dyDescent="0.2">
      <c r="H21" s="8">
        <v>30</v>
      </c>
      <c r="I21" s="8">
        <v>63.5</v>
      </c>
      <c r="J21" s="8">
        <v>184.05</v>
      </c>
    </row>
    <row r="22" spans="3:10" x14ac:dyDescent="0.2">
      <c r="C22" s="9" t="s">
        <v>8</v>
      </c>
      <c r="D22" s="9" t="s">
        <v>7</v>
      </c>
      <c r="E22" s="9" t="s">
        <v>6</v>
      </c>
      <c r="H22" s="8">
        <v>40</v>
      </c>
      <c r="I22" s="8">
        <v>58.38</v>
      </c>
      <c r="J22" s="8">
        <v>200.17</v>
      </c>
    </row>
    <row r="23" spans="3:10" x14ac:dyDescent="0.2">
      <c r="C23" s="9">
        <v>5</v>
      </c>
      <c r="D23">
        <v>16.263000000000002</v>
      </c>
      <c r="E23">
        <v>117.30769230769231</v>
      </c>
      <c r="H23" s="8">
        <v>50</v>
      </c>
      <c r="I23" s="8">
        <v>73.36</v>
      </c>
      <c r="J23" s="8">
        <v>159.30000000000001</v>
      </c>
    </row>
    <row r="24" spans="3:10" x14ac:dyDescent="0.2">
      <c r="C24" s="9">
        <v>10</v>
      </c>
      <c r="D24">
        <v>17.693000000000001</v>
      </c>
      <c r="E24">
        <v>110.66153846153847</v>
      </c>
      <c r="H24" s="8">
        <v>60</v>
      </c>
      <c r="I24" s="8">
        <v>62.44</v>
      </c>
      <c r="J24" s="8">
        <v>187.17</v>
      </c>
    </row>
    <row r="25" spans="3:10" x14ac:dyDescent="0.2">
      <c r="C25" s="9">
        <v>15</v>
      </c>
      <c r="D25">
        <v>19.539000000000001</v>
      </c>
      <c r="E25">
        <v>99.399999999999991</v>
      </c>
      <c r="H25" s="8">
        <v>70</v>
      </c>
      <c r="I25" s="8">
        <v>83.55</v>
      </c>
      <c r="J25" s="8">
        <v>139.78</v>
      </c>
    </row>
    <row r="26" spans="3:10" x14ac:dyDescent="0.2">
      <c r="C26" s="9">
        <v>20</v>
      </c>
      <c r="D26">
        <v>16.965</v>
      </c>
      <c r="E26">
        <v>118.79230769230769</v>
      </c>
    </row>
    <row r="27" spans="3:10" x14ac:dyDescent="0.2">
      <c r="C27" s="9">
        <v>25</v>
      </c>
      <c r="D27">
        <v>16.497</v>
      </c>
      <c r="E27">
        <v>133.48461538461538</v>
      </c>
    </row>
    <row r="28" spans="3:10" x14ac:dyDescent="0.2">
      <c r="C28" s="9">
        <v>30</v>
      </c>
      <c r="D28">
        <v>16.783000000000001</v>
      </c>
      <c r="E28">
        <v>130.26153846153846</v>
      </c>
    </row>
    <row r="29" spans="3:10" x14ac:dyDescent="0.2">
      <c r="C29" s="9">
        <v>35</v>
      </c>
      <c r="D29">
        <v>21.645</v>
      </c>
      <c r="E29">
        <v>107.79230769230769</v>
      </c>
    </row>
    <row r="30" spans="3:10" x14ac:dyDescent="0.2">
      <c r="C30" s="9">
        <v>40</v>
      </c>
      <c r="D30">
        <v>25.128999999999998</v>
      </c>
      <c r="E30">
        <v>107.67692307692306</v>
      </c>
      <c r="G30">
        <v>12.51</v>
      </c>
      <c r="H30">
        <f>G30*1.3</f>
        <v>16.263000000000002</v>
      </c>
      <c r="I30">
        <f>J30/1.3</f>
        <v>117.30769230769231</v>
      </c>
      <c r="J30" s="9">
        <v>152.5</v>
      </c>
    </row>
    <row r="31" spans="3:10" x14ac:dyDescent="0.2">
      <c r="C31" s="9">
        <v>45</v>
      </c>
      <c r="D31">
        <v>26.143000000000001</v>
      </c>
      <c r="E31">
        <v>91.761538461538464</v>
      </c>
      <c r="G31">
        <v>13.61</v>
      </c>
      <c r="H31">
        <f t="shared" ref="H31:H39" si="0">G31*1.3</f>
        <v>17.693000000000001</v>
      </c>
      <c r="I31">
        <f t="shared" ref="I31:I39" si="1">J31/1.3</f>
        <v>110.66153846153847</v>
      </c>
      <c r="J31" s="9">
        <v>143.86000000000001</v>
      </c>
    </row>
    <row r="32" spans="3:10" x14ac:dyDescent="0.2">
      <c r="C32" s="9">
        <v>50</v>
      </c>
      <c r="D32">
        <v>28.742999999999999</v>
      </c>
      <c r="E32">
        <v>88.684615384615384</v>
      </c>
      <c r="G32">
        <v>15.03</v>
      </c>
      <c r="H32">
        <f t="shared" si="0"/>
        <v>19.539000000000001</v>
      </c>
      <c r="I32">
        <f t="shared" si="1"/>
        <v>99.399999999999991</v>
      </c>
      <c r="J32" s="9">
        <v>129.22</v>
      </c>
    </row>
    <row r="33" spans="7:10" x14ac:dyDescent="0.2">
      <c r="G33">
        <v>13.05</v>
      </c>
      <c r="H33">
        <f t="shared" si="0"/>
        <v>16.965</v>
      </c>
      <c r="I33">
        <f t="shared" si="1"/>
        <v>118.79230769230769</v>
      </c>
      <c r="J33" s="9">
        <v>154.43</v>
      </c>
    </row>
    <row r="34" spans="7:10" x14ac:dyDescent="0.2">
      <c r="G34">
        <v>12.69</v>
      </c>
      <c r="H34">
        <f t="shared" si="0"/>
        <v>16.497</v>
      </c>
      <c r="I34">
        <f t="shared" si="1"/>
        <v>133.48461538461538</v>
      </c>
      <c r="J34" s="9">
        <v>173.53</v>
      </c>
    </row>
    <row r="35" spans="7:10" x14ac:dyDescent="0.2">
      <c r="G35">
        <v>12.91</v>
      </c>
      <c r="H35">
        <f t="shared" si="0"/>
        <v>16.783000000000001</v>
      </c>
      <c r="I35">
        <f t="shared" si="1"/>
        <v>130.26153846153846</v>
      </c>
      <c r="J35" s="9">
        <v>169.34</v>
      </c>
    </row>
    <row r="36" spans="7:10" x14ac:dyDescent="0.2">
      <c r="G36">
        <v>16.649999999999999</v>
      </c>
      <c r="H36">
        <f t="shared" si="0"/>
        <v>21.645</v>
      </c>
      <c r="I36">
        <f t="shared" si="1"/>
        <v>107.79230769230769</v>
      </c>
      <c r="J36" s="9">
        <v>140.13</v>
      </c>
    </row>
    <row r="37" spans="7:10" x14ac:dyDescent="0.2">
      <c r="G37">
        <v>19.329999999999998</v>
      </c>
      <c r="H37">
        <f t="shared" si="0"/>
        <v>25.128999999999998</v>
      </c>
      <c r="I37">
        <f t="shared" si="1"/>
        <v>107.67692307692306</v>
      </c>
      <c r="J37" s="9">
        <v>139.97999999999999</v>
      </c>
    </row>
    <row r="38" spans="7:10" x14ac:dyDescent="0.2">
      <c r="G38">
        <v>20.11</v>
      </c>
      <c r="H38">
        <f t="shared" si="0"/>
        <v>26.143000000000001</v>
      </c>
      <c r="I38">
        <f t="shared" si="1"/>
        <v>91.761538461538464</v>
      </c>
      <c r="J38" s="9">
        <v>119.29</v>
      </c>
    </row>
    <row r="39" spans="7:10" x14ac:dyDescent="0.2">
      <c r="G39">
        <v>22.11</v>
      </c>
      <c r="H39">
        <f t="shared" si="0"/>
        <v>28.742999999999999</v>
      </c>
      <c r="I39">
        <f t="shared" si="1"/>
        <v>88.684615384615384</v>
      </c>
      <c r="J39" s="9">
        <v>115.29</v>
      </c>
    </row>
    <row r="42" spans="7:10" x14ac:dyDescent="0.2">
      <c r="H42">
        <v>16.263000000000002</v>
      </c>
      <c r="I42">
        <v>117.30769230769231</v>
      </c>
    </row>
    <row r="43" spans="7:10" x14ac:dyDescent="0.2">
      <c r="H43">
        <v>17.693000000000001</v>
      </c>
      <c r="I43">
        <v>110.66153846153847</v>
      </c>
    </row>
    <row r="44" spans="7:10" x14ac:dyDescent="0.2">
      <c r="H44">
        <v>19.539000000000001</v>
      </c>
      <c r="I44">
        <v>99.399999999999991</v>
      </c>
    </row>
    <row r="45" spans="7:10" x14ac:dyDescent="0.2">
      <c r="H45">
        <v>16.965</v>
      </c>
      <c r="I45">
        <v>118.79230769230769</v>
      </c>
    </row>
    <row r="46" spans="7:10" x14ac:dyDescent="0.2">
      <c r="H46">
        <v>16.497</v>
      </c>
      <c r="I46">
        <v>133.48461538461538</v>
      </c>
    </row>
    <row r="47" spans="7:10" x14ac:dyDescent="0.2">
      <c r="H47">
        <v>16.783000000000001</v>
      </c>
      <c r="I47">
        <v>130.26153846153846</v>
      </c>
    </row>
    <row r="48" spans="7:10" x14ac:dyDescent="0.2">
      <c r="H48">
        <v>21.645</v>
      </c>
      <c r="I48">
        <v>107.79230769230769</v>
      </c>
    </row>
    <row r="49" spans="8:9" x14ac:dyDescent="0.2">
      <c r="H49">
        <v>25.128999999999998</v>
      </c>
      <c r="I49">
        <v>107.67692307692306</v>
      </c>
    </row>
    <row r="50" spans="8:9" x14ac:dyDescent="0.2">
      <c r="H50">
        <v>26.143000000000001</v>
      </c>
      <c r="I50">
        <v>91.761538461538464</v>
      </c>
    </row>
    <row r="51" spans="8:9" x14ac:dyDescent="0.2">
      <c r="H51">
        <v>28.742999999999999</v>
      </c>
      <c r="I51">
        <v>88.684615384615384</v>
      </c>
    </row>
  </sheetData>
  <mergeCells count="2">
    <mergeCell ref="C3:E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C960-564A-4386-9F76-F6BB2CDF6C9A}">
  <dimension ref="A1:J25"/>
  <sheetViews>
    <sheetView zoomScaleNormal="100" workbookViewId="0">
      <selection activeCell="I16" sqref="I16"/>
    </sheetView>
  </sheetViews>
  <sheetFormatPr defaultRowHeight="14.25" x14ac:dyDescent="0.2"/>
  <cols>
    <col min="2" max="2" width="7.375" customWidth="1"/>
    <col min="4" max="4" width="14.625" customWidth="1"/>
    <col min="5" max="5" width="21.25" customWidth="1"/>
    <col min="6" max="6" width="15.5" customWidth="1"/>
    <col min="7" max="7" width="13" customWidth="1"/>
    <col min="8" max="8" width="18.125" customWidth="1"/>
    <col min="9" max="9" width="17.625" customWidth="1"/>
  </cols>
  <sheetData>
    <row r="1" spans="1:9" x14ac:dyDescent="0.2">
      <c r="A1" t="s">
        <v>12</v>
      </c>
      <c r="G1" t="s">
        <v>17</v>
      </c>
    </row>
    <row r="2" spans="1:9" x14ac:dyDescent="0.2">
      <c r="A2" s="5" t="s">
        <v>13</v>
      </c>
    </row>
    <row r="3" spans="1:9" x14ac:dyDescent="0.2">
      <c r="C3" s="11" t="s">
        <v>3</v>
      </c>
      <c r="D3" s="11"/>
      <c r="E3" s="11"/>
      <c r="G3" s="11" t="s">
        <v>3</v>
      </c>
      <c r="H3" s="11"/>
      <c r="I3" s="11"/>
    </row>
    <row r="4" spans="1:9" x14ac:dyDescent="0.2">
      <c r="C4" s="2" t="s">
        <v>8</v>
      </c>
      <c r="D4" s="2" t="s">
        <v>7</v>
      </c>
      <c r="E4" s="2" t="s">
        <v>6</v>
      </c>
      <c r="G4" s="2" t="s">
        <v>8</v>
      </c>
      <c r="H4" s="2" t="s">
        <v>7</v>
      </c>
      <c r="I4" s="2" t="s">
        <v>6</v>
      </c>
    </row>
    <row r="5" spans="1:9" x14ac:dyDescent="0.2">
      <c r="C5" s="2">
        <v>4</v>
      </c>
      <c r="D5" s="2">
        <v>11.51</v>
      </c>
      <c r="E5" s="2">
        <v>157.5</v>
      </c>
      <c r="G5" s="10">
        <v>10</v>
      </c>
      <c r="H5" s="10">
        <v>70</v>
      </c>
      <c r="I5" s="10">
        <v>160</v>
      </c>
    </row>
    <row r="6" spans="1:9" x14ac:dyDescent="0.2">
      <c r="C6" s="2">
        <v>8</v>
      </c>
      <c r="D6" s="2">
        <v>12.61</v>
      </c>
      <c r="E6" s="2">
        <v>143.86000000000001</v>
      </c>
      <c r="G6" s="10">
        <v>20</v>
      </c>
      <c r="H6" s="10">
        <v>68</v>
      </c>
      <c r="I6" s="10">
        <v>188</v>
      </c>
    </row>
    <row r="7" spans="1:9" x14ac:dyDescent="0.2">
      <c r="C7" s="2">
        <v>12</v>
      </c>
      <c r="D7" s="2">
        <v>14.03</v>
      </c>
      <c r="E7" s="2">
        <v>129.22</v>
      </c>
      <c r="G7" s="8">
        <v>30</v>
      </c>
      <c r="H7" s="8">
        <v>63.5</v>
      </c>
      <c r="I7" s="8">
        <v>184.05</v>
      </c>
    </row>
    <row r="8" spans="1:9" x14ac:dyDescent="0.2">
      <c r="C8" s="2">
        <v>16</v>
      </c>
      <c r="D8" s="2">
        <v>12.05</v>
      </c>
      <c r="E8" s="2">
        <v>150.43</v>
      </c>
      <c r="G8" s="8">
        <v>40</v>
      </c>
      <c r="H8" s="8">
        <v>58.38</v>
      </c>
      <c r="I8" s="8">
        <v>200.17</v>
      </c>
    </row>
    <row r="9" spans="1:9" x14ac:dyDescent="0.2">
      <c r="C9" s="2">
        <v>20</v>
      </c>
      <c r="D9" s="2">
        <v>10.69</v>
      </c>
      <c r="E9" s="2">
        <v>169.53</v>
      </c>
      <c r="G9" s="8">
        <v>50</v>
      </c>
      <c r="H9" s="8">
        <v>73.36</v>
      </c>
      <c r="I9" s="8">
        <v>159.30000000000001</v>
      </c>
    </row>
    <row r="10" spans="1:9" x14ac:dyDescent="0.2">
      <c r="C10" s="2">
        <v>30</v>
      </c>
      <c r="D10" s="2">
        <v>10.91</v>
      </c>
      <c r="E10" s="2">
        <v>166.34</v>
      </c>
      <c r="G10" s="8">
        <v>60</v>
      </c>
      <c r="H10" s="8">
        <v>62.44</v>
      </c>
      <c r="I10" s="8">
        <v>187.17</v>
      </c>
    </row>
    <row r="11" spans="1:9" x14ac:dyDescent="0.2">
      <c r="C11" s="2">
        <v>40</v>
      </c>
      <c r="D11" s="2">
        <v>15.65</v>
      </c>
      <c r="E11" s="2">
        <v>140.13</v>
      </c>
      <c r="G11" s="8">
        <v>70</v>
      </c>
      <c r="H11" s="8">
        <v>83.55</v>
      </c>
      <c r="I11" s="8">
        <v>139.78</v>
      </c>
    </row>
    <row r="12" spans="1:9" x14ac:dyDescent="0.2">
      <c r="C12" s="2">
        <v>50</v>
      </c>
      <c r="D12" s="2">
        <v>18.329999999999998</v>
      </c>
      <c r="E12" s="2">
        <v>139.97999999999999</v>
      </c>
      <c r="G12" s="2" t="s">
        <v>4</v>
      </c>
      <c r="H12" s="2" t="s">
        <v>4</v>
      </c>
      <c r="I12" s="2" t="s">
        <v>4</v>
      </c>
    </row>
    <row r="13" spans="1:9" x14ac:dyDescent="0.2">
      <c r="C13" s="2">
        <v>60</v>
      </c>
      <c r="D13" s="2">
        <v>20.11</v>
      </c>
      <c r="E13" s="2">
        <v>119.29</v>
      </c>
      <c r="G13" s="2" t="s">
        <v>4</v>
      </c>
      <c r="H13" s="2" t="s">
        <v>4</v>
      </c>
      <c r="I13" s="2" t="s">
        <v>4</v>
      </c>
    </row>
    <row r="21" spans="8:10" x14ac:dyDescent="0.2">
      <c r="H21" s="2">
        <v>30</v>
      </c>
      <c r="I21" s="2">
        <v>63.5</v>
      </c>
      <c r="J21" s="2">
        <v>184.05</v>
      </c>
    </row>
    <row r="22" spans="8:10" x14ac:dyDescent="0.2">
      <c r="H22" s="2">
        <v>40</v>
      </c>
      <c r="I22" s="2">
        <v>58.38</v>
      </c>
      <c r="J22" s="2">
        <v>200.17</v>
      </c>
    </row>
    <row r="23" spans="8:10" x14ac:dyDescent="0.2">
      <c r="H23" s="2">
        <v>50</v>
      </c>
      <c r="I23" s="2">
        <v>73.36</v>
      </c>
      <c r="J23" s="2">
        <v>159.30000000000001</v>
      </c>
    </row>
    <row r="24" spans="8:10" x14ac:dyDescent="0.2">
      <c r="H24" s="2">
        <v>60</v>
      </c>
      <c r="I24" s="2">
        <v>62.44</v>
      </c>
      <c r="J24" s="2">
        <v>187.17</v>
      </c>
    </row>
    <row r="25" spans="8:10" x14ac:dyDescent="0.2">
      <c r="H25" s="2">
        <v>70</v>
      </c>
      <c r="I25" s="2">
        <v>83.55</v>
      </c>
      <c r="J25" s="2">
        <v>139.78</v>
      </c>
    </row>
  </sheetData>
  <mergeCells count="2">
    <mergeCell ref="C3:E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B7F1-E086-43B6-9EB2-E5F0B8396604}">
  <dimension ref="A2:I15"/>
  <sheetViews>
    <sheetView topLeftCell="A24" zoomScale="160" zoomScaleNormal="160" workbookViewId="0">
      <selection activeCell="A32" sqref="A32"/>
    </sheetView>
  </sheetViews>
  <sheetFormatPr defaultRowHeight="14.25" x14ac:dyDescent="0.2"/>
  <cols>
    <col min="5" max="5" width="14.625" customWidth="1"/>
    <col min="6" max="6" width="16.25" customWidth="1"/>
    <col min="7" max="7" width="14.625" customWidth="1"/>
    <col min="8" max="8" width="16.375" customWidth="1"/>
    <col min="9" max="9" width="17.875" customWidth="1"/>
  </cols>
  <sheetData>
    <row r="2" spans="1:9" x14ac:dyDescent="0.2">
      <c r="A2" s="1" t="s">
        <v>0</v>
      </c>
      <c r="B2" s="1" t="s">
        <v>1</v>
      </c>
      <c r="C2" s="1" t="s">
        <v>10</v>
      </c>
    </row>
    <row r="3" spans="1:9" x14ac:dyDescent="0.2">
      <c r="A3" s="3">
        <v>0.3</v>
      </c>
      <c r="B3" s="1">
        <v>200</v>
      </c>
      <c r="C3" s="1"/>
      <c r="D3" s="7"/>
      <c r="E3" s="11" t="s">
        <v>2</v>
      </c>
      <c r="F3" s="11"/>
      <c r="G3" s="11" t="s">
        <v>3</v>
      </c>
      <c r="H3" s="11"/>
      <c r="I3" s="11"/>
    </row>
    <row r="4" spans="1:9" x14ac:dyDescent="0.2">
      <c r="A4" s="1" t="s">
        <v>11</v>
      </c>
      <c r="B4" s="1"/>
      <c r="C4" s="1"/>
      <c r="D4" s="7"/>
      <c r="E4" s="7" t="s">
        <v>7</v>
      </c>
      <c r="F4" s="7" t="s">
        <v>6</v>
      </c>
      <c r="G4" s="1" t="s">
        <v>8</v>
      </c>
      <c r="H4" s="7" t="s">
        <v>7</v>
      </c>
      <c r="I4" s="7" t="s">
        <v>6</v>
      </c>
    </row>
    <row r="5" spans="1:9" x14ac:dyDescent="0.2">
      <c r="A5" s="1">
        <v>65310</v>
      </c>
      <c r="B5" s="1"/>
      <c r="C5" s="1"/>
      <c r="D5" s="7">
        <v>1</v>
      </c>
      <c r="E5" s="7">
        <v>27.22</v>
      </c>
      <c r="F5" s="7">
        <v>70.14</v>
      </c>
      <c r="G5" s="7">
        <v>4</v>
      </c>
      <c r="H5" s="7">
        <v>12.09</v>
      </c>
      <c r="I5" s="7">
        <v>138.43</v>
      </c>
    </row>
    <row r="6" spans="1:9" x14ac:dyDescent="0.2">
      <c r="A6" s="1"/>
      <c r="B6" s="1"/>
      <c r="C6" s="1"/>
      <c r="D6" s="7">
        <v>2</v>
      </c>
      <c r="E6" s="7">
        <v>29.21</v>
      </c>
      <c r="F6" s="7">
        <v>63.07</v>
      </c>
      <c r="G6" s="7">
        <v>4</v>
      </c>
      <c r="H6" s="7">
        <v>15.12</v>
      </c>
      <c r="I6" s="7">
        <v>103.16</v>
      </c>
    </row>
    <row r="7" spans="1:9" x14ac:dyDescent="0.2">
      <c r="D7" s="7">
        <v>3</v>
      </c>
      <c r="E7" s="7">
        <v>29.36</v>
      </c>
      <c r="F7" s="7">
        <v>62.92</v>
      </c>
      <c r="G7" s="7">
        <v>8</v>
      </c>
      <c r="H7" s="7">
        <v>18.12</v>
      </c>
      <c r="I7" s="7">
        <v>115.55</v>
      </c>
    </row>
    <row r="8" spans="1:9" x14ac:dyDescent="0.2">
      <c r="D8" s="7">
        <v>4</v>
      </c>
      <c r="E8" s="7">
        <v>31.41</v>
      </c>
      <c r="F8" s="7">
        <v>60.61</v>
      </c>
      <c r="G8" s="7">
        <v>8</v>
      </c>
      <c r="H8" s="7">
        <v>16.11</v>
      </c>
      <c r="I8" s="7">
        <v>122.95</v>
      </c>
    </row>
    <row r="9" spans="1:9" x14ac:dyDescent="0.2">
      <c r="D9" s="7">
        <v>5</v>
      </c>
      <c r="E9" s="7">
        <v>32.56</v>
      </c>
      <c r="F9" s="7">
        <v>55.44</v>
      </c>
      <c r="G9" s="7">
        <v>12</v>
      </c>
      <c r="H9" s="7">
        <v>16.13</v>
      </c>
      <c r="I9" s="7">
        <v>128.26</v>
      </c>
    </row>
    <row r="10" spans="1:9" x14ac:dyDescent="0.2">
      <c r="D10" s="7">
        <v>6</v>
      </c>
      <c r="E10" s="7">
        <v>29.02</v>
      </c>
      <c r="F10" s="7">
        <v>66.75</v>
      </c>
      <c r="G10" s="7">
        <v>12</v>
      </c>
      <c r="H10" s="7">
        <v>17.18</v>
      </c>
      <c r="I10" s="7">
        <v>125.37</v>
      </c>
    </row>
    <row r="11" spans="1:9" x14ac:dyDescent="0.2">
      <c r="D11" s="7" t="s">
        <v>9</v>
      </c>
      <c r="E11" s="7">
        <v>28.96</v>
      </c>
      <c r="F11" s="7">
        <v>61.82</v>
      </c>
      <c r="G11" s="7"/>
      <c r="H11" s="7">
        <v>16.29</v>
      </c>
      <c r="I11" s="7">
        <v>125.78</v>
      </c>
    </row>
    <row r="12" spans="1:9" x14ac:dyDescent="0.2">
      <c r="D12" s="1" t="s">
        <v>4</v>
      </c>
      <c r="E12" s="1"/>
      <c r="F12" s="1" t="s">
        <v>5</v>
      </c>
      <c r="G12" s="1"/>
      <c r="H12" s="1"/>
      <c r="I12" s="1"/>
    </row>
    <row r="13" spans="1:9" x14ac:dyDescent="0.2">
      <c r="D13" s="1" t="s">
        <v>4</v>
      </c>
      <c r="E13" s="1"/>
      <c r="F13" s="1"/>
      <c r="G13" s="1"/>
      <c r="H13" s="1"/>
      <c r="I13" s="1"/>
    </row>
    <row r="14" spans="1:9" x14ac:dyDescent="0.2">
      <c r="D14" s="1" t="s">
        <v>4</v>
      </c>
      <c r="E14" s="1"/>
      <c r="F14" s="1"/>
      <c r="G14" s="1"/>
      <c r="H14" s="1"/>
      <c r="I14" s="1"/>
    </row>
    <row r="15" spans="1:9" x14ac:dyDescent="0.2">
      <c r="D15" s="1" t="s">
        <v>4</v>
      </c>
      <c r="E15" s="1"/>
      <c r="F15" s="1"/>
      <c r="G15" s="1"/>
      <c r="H15" s="1"/>
      <c r="I15" s="1"/>
    </row>
  </sheetData>
  <mergeCells count="2">
    <mergeCell ref="E3:F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719D-BC07-4169-AAAF-A779AD2A4979}">
  <dimension ref="A2:I15"/>
  <sheetViews>
    <sheetView topLeftCell="D3" zoomScale="160" zoomScaleNormal="160" workbookViewId="0">
      <selection activeCell="J8" sqref="J8"/>
    </sheetView>
  </sheetViews>
  <sheetFormatPr defaultRowHeight="14.25" x14ac:dyDescent="0.2"/>
  <cols>
    <col min="5" max="5" width="14.625" customWidth="1"/>
    <col min="6" max="6" width="16.25" customWidth="1"/>
    <col min="7" max="7" width="14.625" customWidth="1"/>
    <col min="8" max="8" width="16.375" customWidth="1"/>
    <col min="9" max="9" width="17.875" customWidth="1"/>
  </cols>
  <sheetData>
    <row r="2" spans="1:9" x14ac:dyDescent="0.2">
      <c r="A2" s="1" t="s">
        <v>0</v>
      </c>
      <c r="B2" s="1" t="s">
        <v>1</v>
      </c>
      <c r="C2" s="1" t="s">
        <v>10</v>
      </c>
    </row>
    <row r="3" spans="1:9" x14ac:dyDescent="0.2">
      <c r="A3" s="3">
        <v>0.3</v>
      </c>
      <c r="B3" s="1">
        <v>200</v>
      </c>
      <c r="C3" s="1"/>
      <c r="D3" s="4"/>
      <c r="E3" s="11" t="s">
        <v>2</v>
      </c>
      <c r="F3" s="11"/>
      <c r="G3" s="11" t="s">
        <v>3</v>
      </c>
      <c r="H3" s="11"/>
      <c r="I3" s="11"/>
    </row>
    <row r="4" spans="1:9" x14ac:dyDescent="0.2">
      <c r="A4" s="1" t="s">
        <v>11</v>
      </c>
      <c r="B4" s="1"/>
      <c r="C4" s="1"/>
      <c r="D4" s="4"/>
      <c r="E4" s="4" t="s">
        <v>7</v>
      </c>
      <c r="F4" s="4" t="s">
        <v>6</v>
      </c>
      <c r="G4" s="1" t="s">
        <v>8</v>
      </c>
      <c r="H4" s="4" t="s">
        <v>7</v>
      </c>
      <c r="I4" s="4" t="s">
        <v>6</v>
      </c>
    </row>
    <row r="5" spans="1:9" x14ac:dyDescent="0.2">
      <c r="A5" s="1">
        <v>65310</v>
      </c>
      <c r="B5" s="1"/>
      <c r="C5" s="1"/>
      <c r="D5" s="4">
        <v>1</v>
      </c>
      <c r="E5" s="4">
        <v>27.22</v>
      </c>
      <c r="F5" s="4">
        <v>70.14</v>
      </c>
      <c r="G5" s="4">
        <v>4</v>
      </c>
      <c r="H5" s="4">
        <v>12.09</v>
      </c>
      <c r="I5" s="4">
        <v>140.43</v>
      </c>
    </row>
    <row r="6" spans="1:9" x14ac:dyDescent="0.2">
      <c r="A6" s="1"/>
      <c r="B6" s="1"/>
      <c r="C6" s="1"/>
      <c r="D6" s="4">
        <v>2</v>
      </c>
      <c r="E6" s="4">
        <v>29.21</v>
      </c>
      <c r="F6" s="4">
        <v>63.07</v>
      </c>
      <c r="G6" s="4">
        <v>4</v>
      </c>
      <c r="H6" s="4">
        <v>15.12</v>
      </c>
      <c r="I6" s="4">
        <v>103.16</v>
      </c>
    </row>
    <row r="7" spans="1:9" x14ac:dyDescent="0.2">
      <c r="D7" s="4">
        <v>3</v>
      </c>
      <c r="E7" s="4">
        <v>29.36</v>
      </c>
      <c r="F7" s="4">
        <v>62.92</v>
      </c>
      <c r="G7" s="4">
        <v>8</v>
      </c>
      <c r="H7" s="4">
        <v>17.12</v>
      </c>
      <c r="I7" s="4">
        <v>115.55</v>
      </c>
    </row>
    <row r="8" spans="1:9" x14ac:dyDescent="0.2">
      <c r="D8" s="4">
        <v>4</v>
      </c>
      <c r="E8" s="4">
        <v>31.41</v>
      </c>
      <c r="F8" s="4">
        <v>60.61</v>
      </c>
      <c r="G8" s="4">
        <v>8</v>
      </c>
      <c r="H8" s="4">
        <v>13.11</v>
      </c>
      <c r="I8" s="4">
        <v>122.95</v>
      </c>
    </row>
    <row r="9" spans="1:9" x14ac:dyDescent="0.2">
      <c r="D9" s="4">
        <v>5</v>
      </c>
      <c r="E9" s="4">
        <v>32.56</v>
      </c>
      <c r="F9" s="4">
        <v>55.44</v>
      </c>
      <c r="G9" s="4">
        <v>12</v>
      </c>
      <c r="H9" s="4">
        <v>12.13</v>
      </c>
      <c r="I9" s="4">
        <v>126.26</v>
      </c>
    </row>
    <row r="10" spans="1:9" x14ac:dyDescent="0.2">
      <c r="D10" s="4">
        <v>6</v>
      </c>
      <c r="E10" s="4">
        <v>29.02</v>
      </c>
      <c r="F10" s="4">
        <v>66.75</v>
      </c>
      <c r="G10" s="4">
        <v>12</v>
      </c>
      <c r="H10" s="4">
        <v>17.18</v>
      </c>
      <c r="I10" s="4">
        <v>122.37</v>
      </c>
    </row>
    <row r="11" spans="1:9" x14ac:dyDescent="0.2">
      <c r="D11" s="4" t="s">
        <v>9</v>
      </c>
      <c r="E11" s="4">
        <v>28.96</v>
      </c>
      <c r="F11" s="4">
        <v>61.82</v>
      </c>
      <c r="G11" s="4"/>
      <c r="H11" s="4">
        <v>16.29</v>
      </c>
      <c r="I11" s="4">
        <v>122.78</v>
      </c>
    </row>
    <row r="12" spans="1:9" x14ac:dyDescent="0.2">
      <c r="D12" s="1" t="s">
        <v>4</v>
      </c>
      <c r="E12" s="1"/>
      <c r="F12" s="1" t="s">
        <v>5</v>
      </c>
      <c r="G12" s="1"/>
      <c r="H12" s="1"/>
      <c r="I12" s="1"/>
    </row>
    <row r="13" spans="1:9" x14ac:dyDescent="0.2">
      <c r="D13" s="1" t="s">
        <v>4</v>
      </c>
      <c r="E13" s="1"/>
      <c r="F13" s="1"/>
      <c r="G13" s="1"/>
      <c r="H13" s="1"/>
      <c r="I13" s="1"/>
    </row>
    <row r="14" spans="1:9" x14ac:dyDescent="0.2">
      <c r="D14" s="1" t="s">
        <v>4</v>
      </c>
      <c r="E14" s="1"/>
      <c r="F14" s="1"/>
      <c r="G14" s="1"/>
      <c r="H14" s="1"/>
      <c r="I14" s="1"/>
    </row>
    <row r="15" spans="1:9" x14ac:dyDescent="0.2">
      <c r="D15" s="1" t="s">
        <v>4</v>
      </c>
      <c r="E15" s="1"/>
      <c r="F15" s="1"/>
      <c r="G15" s="1"/>
      <c r="H15" s="1"/>
      <c r="I15" s="1"/>
    </row>
  </sheetData>
  <mergeCells count="2">
    <mergeCell ref="E3:F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FE25-2843-48C7-A762-82AE4820F364}">
  <dimension ref="A2:M39"/>
  <sheetViews>
    <sheetView topLeftCell="D11" zoomScale="145" zoomScaleNormal="145" workbookViewId="0">
      <selection activeCell="J13" sqref="J13"/>
    </sheetView>
  </sheetViews>
  <sheetFormatPr defaultRowHeight="14.25" x14ac:dyDescent="0.2"/>
  <cols>
    <col min="5" max="5" width="14.625" customWidth="1"/>
    <col min="6" max="6" width="16.25" customWidth="1"/>
    <col min="7" max="7" width="14.625" customWidth="1"/>
    <col min="8" max="8" width="16.375" customWidth="1"/>
    <col min="9" max="9" width="17.875" customWidth="1"/>
  </cols>
  <sheetData>
    <row r="2" spans="1:13" x14ac:dyDescent="0.2">
      <c r="A2" s="1" t="s">
        <v>0</v>
      </c>
      <c r="B2" s="1" t="s">
        <v>1</v>
      </c>
      <c r="C2" s="1" t="s">
        <v>10</v>
      </c>
    </row>
    <row r="3" spans="1:13" x14ac:dyDescent="0.2">
      <c r="A3" s="3">
        <v>0.3</v>
      </c>
      <c r="B3" s="1">
        <v>200</v>
      </c>
      <c r="C3" s="1"/>
      <c r="D3" s="7"/>
      <c r="E3" s="11" t="s">
        <v>2</v>
      </c>
      <c r="F3" s="11"/>
      <c r="G3" s="11" t="s">
        <v>3</v>
      </c>
      <c r="H3" s="11"/>
      <c r="I3" s="11"/>
    </row>
    <row r="4" spans="1:13" x14ac:dyDescent="0.2">
      <c r="A4" s="1" t="s">
        <v>11</v>
      </c>
      <c r="B4" s="1"/>
      <c r="C4" s="1"/>
      <c r="D4" s="7"/>
      <c r="E4" s="7" t="s">
        <v>7</v>
      </c>
      <c r="F4" s="7" t="s">
        <v>6</v>
      </c>
      <c r="G4" s="1" t="s">
        <v>8</v>
      </c>
      <c r="H4" s="7" t="s">
        <v>7</v>
      </c>
      <c r="I4" s="7" t="s">
        <v>6</v>
      </c>
    </row>
    <row r="5" spans="1:13" x14ac:dyDescent="0.2">
      <c r="A5" s="1">
        <v>65310</v>
      </c>
      <c r="B5" s="1"/>
      <c r="C5" s="1"/>
      <c r="D5" s="7">
        <v>1</v>
      </c>
      <c r="F5" s="7">
        <v>70.14</v>
      </c>
      <c r="G5" s="7">
        <v>4</v>
      </c>
      <c r="H5" s="7">
        <v>12.09</v>
      </c>
      <c r="I5" s="7">
        <v>140.43</v>
      </c>
    </row>
    <row r="6" spans="1:13" x14ac:dyDescent="0.2">
      <c r="A6" s="1"/>
      <c r="B6" s="1"/>
      <c r="C6" s="1"/>
      <c r="D6" s="7">
        <v>2</v>
      </c>
      <c r="F6" s="7">
        <v>63.07</v>
      </c>
      <c r="G6" s="7">
        <v>4</v>
      </c>
      <c r="H6" s="7">
        <v>15.12</v>
      </c>
      <c r="I6" s="7">
        <v>103.16</v>
      </c>
    </row>
    <row r="7" spans="1:13" x14ac:dyDescent="0.2">
      <c r="D7" s="7">
        <v>3</v>
      </c>
      <c r="F7" s="7">
        <v>62.92</v>
      </c>
      <c r="G7" s="7">
        <v>8</v>
      </c>
      <c r="H7" s="7">
        <v>17.12</v>
      </c>
      <c r="I7" s="7">
        <v>115.55</v>
      </c>
    </row>
    <row r="8" spans="1:13" x14ac:dyDescent="0.2">
      <c r="D8" s="7">
        <v>4</v>
      </c>
      <c r="F8" s="7">
        <v>60.61</v>
      </c>
      <c r="G8" s="7">
        <v>8</v>
      </c>
      <c r="H8" s="7">
        <v>13.11</v>
      </c>
      <c r="I8" s="7">
        <v>122.95</v>
      </c>
    </row>
    <row r="9" spans="1:13" x14ac:dyDescent="0.2">
      <c r="D9" s="7">
        <v>5</v>
      </c>
      <c r="F9" s="7">
        <v>55.44</v>
      </c>
      <c r="G9" s="7">
        <v>12</v>
      </c>
      <c r="H9" s="7">
        <v>12.13</v>
      </c>
      <c r="I9" s="7">
        <v>126.26</v>
      </c>
    </row>
    <row r="10" spans="1:13" x14ac:dyDescent="0.2">
      <c r="D10" s="7">
        <v>6</v>
      </c>
      <c r="F10" s="7">
        <v>66.75</v>
      </c>
      <c r="G10" s="7">
        <v>12</v>
      </c>
      <c r="H10" s="7">
        <v>17.18</v>
      </c>
      <c r="I10" s="7">
        <v>122.37</v>
      </c>
    </row>
    <row r="11" spans="1:13" x14ac:dyDescent="0.2">
      <c r="D11" s="7" t="s">
        <v>9</v>
      </c>
      <c r="E11" s="7">
        <v>28.96</v>
      </c>
      <c r="F11" s="7">
        <v>61.82</v>
      </c>
      <c r="G11" s="7"/>
      <c r="H11" s="7">
        <v>16.29</v>
      </c>
      <c r="I11" s="7">
        <v>122.78</v>
      </c>
    </row>
    <row r="12" spans="1:13" x14ac:dyDescent="0.2">
      <c r="D12" s="1" t="s">
        <v>4</v>
      </c>
      <c r="E12" s="1"/>
      <c r="F12" s="1" t="s">
        <v>5</v>
      </c>
      <c r="G12" s="1"/>
      <c r="H12" s="1"/>
      <c r="I12" s="1"/>
      <c r="M12" s="7">
        <v>28.22</v>
      </c>
    </row>
    <row r="13" spans="1:13" x14ac:dyDescent="0.2">
      <c r="D13" s="1" t="s">
        <v>4</v>
      </c>
      <c r="E13" s="1"/>
      <c r="F13" s="1"/>
      <c r="G13" s="1"/>
      <c r="H13" s="1"/>
      <c r="I13" s="1"/>
      <c r="M13" s="7">
        <v>29.21</v>
      </c>
    </row>
    <row r="14" spans="1:13" x14ac:dyDescent="0.2">
      <c r="D14" s="1" t="s">
        <v>4</v>
      </c>
      <c r="E14" s="1"/>
      <c r="F14" s="1"/>
      <c r="G14" s="1"/>
      <c r="H14" s="1"/>
      <c r="I14" s="1"/>
      <c r="M14" s="7">
        <v>29.36</v>
      </c>
    </row>
    <row r="15" spans="1:13" x14ac:dyDescent="0.2">
      <c r="D15" s="1" t="s">
        <v>4</v>
      </c>
      <c r="E15" s="1"/>
      <c r="F15" s="1"/>
      <c r="G15" s="1"/>
      <c r="H15" s="1"/>
      <c r="I15" s="1"/>
      <c r="M15" s="7">
        <v>31.41</v>
      </c>
    </row>
    <row r="16" spans="1:13" x14ac:dyDescent="0.2">
      <c r="M16" s="7">
        <v>32.56</v>
      </c>
    </row>
    <row r="17" spans="8:13" x14ac:dyDescent="0.2">
      <c r="I17" s="7">
        <v>28.22</v>
      </c>
      <c r="J17">
        <f>I17+1</f>
        <v>29.22</v>
      </c>
      <c r="M17" s="7">
        <v>29.02</v>
      </c>
    </row>
    <row r="18" spans="8:13" x14ac:dyDescent="0.2">
      <c r="H18">
        <v>29.22</v>
      </c>
      <c r="I18" s="7">
        <v>29.21</v>
      </c>
      <c r="J18">
        <f t="shared" ref="J18:J22" si="0">I18+1</f>
        <v>30.21</v>
      </c>
    </row>
    <row r="19" spans="8:13" x14ac:dyDescent="0.2">
      <c r="H19">
        <v>30.21</v>
      </c>
      <c r="I19" s="7">
        <v>29.36</v>
      </c>
      <c r="J19">
        <f t="shared" si="0"/>
        <v>30.36</v>
      </c>
    </row>
    <row r="20" spans="8:13" x14ac:dyDescent="0.2">
      <c r="H20">
        <v>30.36</v>
      </c>
      <c r="I20" s="7">
        <v>31.41</v>
      </c>
      <c r="J20">
        <f t="shared" si="0"/>
        <v>32.409999999999997</v>
      </c>
    </row>
    <row r="21" spans="8:13" x14ac:dyDescent="0.2">
      <c r="H21">
        <v>32.409999999999997</v>
      </c>
      <c r="I21" s="7">
        <v>32.56</v>
      </c>
      <c r="J21">
        <f t="shared" si="0"/>
        <v>33.56</v>
      </c>
    </row>
    <row r="22" spans="8:13" x14ac:dyDescent="0.2">
      <c r="H22">
        <v>33.56</v>
      </c>
      <c r="I22" s="7">
        <v>29.02</v>
      </c>
      <c r="J22">
        <f t="shared" si="0"/>
        <v>30.02</v>
      </c>
    </row>
    <row r="23" spans="8:13" x14ac:dyDescent="0.2">
      <c r="H23">
        <v>30.02</v>
      </c>
    </row>
    <row r="24" spans="8:13" x14ac:dyDescent="0.2">
      <c r="I24" s="7">
        <v>70.14</v>
      </c>
      <c r="J24">
        <f>I24-3</f>
        <v>67.14</v>
      </c>
    </row>
    <row r="25" spans="8:13" x14ac:dyDescent="0.2">
      <c r="I25" s="7">
        <v>63.07</v>
      </c>
      <c r="J25">
        <f t="shared" ref="J25:J29" si="1">I25-3</f>
        <v>60.07</v>
      </c>
    </row>
    <row r="26" spans="8:13" x14ac:dyDescent="0.2">
      <c r="I26" s="7">
        <v>62.92</v>
      </c>
      <c r="J26">
        <f t="shared" si="1"/>
        <v>59.92</v>
      </c>
    </row>
    <row r="27" spans="8:13" x14ac:dyDescent="0.2">
      <c r="I27" s="7">
        <v>60.61</v>
      </c>
      <c r="J27">
        <f t="shared" si="1"/>
        <v>57.61</v>
      </c>
    </row>
    <row r="28" spans="8:13" x14ac:dyDescent="0.2">
      <c r="I28" s="7">
        <v>55.44</v>
      </c>
      <c r="J28">
        <f t="shared" si="1"/>
        <v>52.44</v>
      </c>
    </row>
    <row r="29" spans="8:13" x14ac:dyDescent="0.2">
      <c r="I29" s="7">
        <v>66.75</v>
      </c>
      <c r="J29">
        <f t="shared" si="1"/>
        <v>63.75</v>
      </c>
    </row>
    <row r="34" spans="9:12" x14ac:dyDescent="0.2">
      <c r="I34" s="7">
        <v>12.09</v>
      </c>
      <c r="J34">
        <f>I34+2</f>
        <v>14.09</v>
      </c>
      <c r="L34">
        <v>18.09</v>
      </c>
    </row>
    <row r="35" spans="9:12" x14ac:dyDescent="0.2">
      <c r="I35" s="7">
        <v>15.12</v>
      </c>
      <c r="J35">
        <f t="shared" ref="J35:J39" si="2">I35+2</f>
        <v>17.119999999999997</v>
      </c>
      <c r="L35">
        <v>17.119999999999997</v>
      </c>
    </row>
    <row r="36" spans="9:12" x14ac:dyDescent="0.2">
      <c r="I36" s="7">
        <v>17.12</v>
      </c>
      <c r="J36">
        <f t="shared" si="2"/>
        <v>19.12</v>
      </c>
      <c r="L36">
        <v>19.12</v>
      </c>
    </row>
    <row r="37" spans="9:12" x14ac:dyDescent="0.2">
      <c r="I37" s="7">
        <v>13.11</v>
      </c>
      <c r="J37">
        <f>I37+2</f>
        <v>15.11</v>
      </c>
      <c r="L37">
        <v>19.11</v>
      </c>
    </row>
    <row r="38" spans="9:12" x14ac:dyDescent="0.2">
      <c r="I38" s="7">
        <v>12.13</v>
      </c>
      <c r="J38">
        <f>I38+2</f>
        <v>14.13</v>
      </c>
      <c r="L38">
        <v>18.13</v>
      </c>
    </row>
    <row r="39" spans="9:12" x14ac:dyDescent="0.2">
      <c r="I39" s="7">
        <v>17.18</v>
      </c>
      <c r="J39">
        <f t="shared" si="2"/>
        <v>19.18</v>
      </c>
      <c r="L39">
        <v>19.18</v>
      </c>
    </row>
  </sheetData>
  <mergeCells count="2">
    <mergeCell ref="E3:F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2402-FF7B-45D3-B65D-052DD625D44A}">
  <dimension ref="A2:I15"/>
  <sheetViews>
    <sheetView topLeftCell="D3" zoomScale="160" zoomScaleNormal="160" workbookViewId="0">
      <selection activeCell="D14" sqref="D14"/>
    </sheetView>
  </sheetViews>
  <sheetFormatPr defaultRowHeight="14.25" x14ac:dyDescent="0.2"/>
  <cols>
    <col min="5" max="5" width="14.625" customWidth="1"/>
    <col min="6" max="6" width="16.25" customWidth="1"/>
    <col min="7" max="7" width="14.625" customWidth="1"/>
    <col min="8" max="8" width="16.375" customWidth="1"/>
    <col min="9" max="9" width="17.875" customWidth="1"/>
  </cols>
  <sheetData>
    <row r="2" spans="1:9" x14ac:dyDescent="0.2">
      <c r="A2" s="1" t="s">
        <v>0</v>
      </c>
      <c r="B2" s="1" t="s">
        <v>1</v>
      </c>
      <c r="C2" s="1" t="s">
        <v>10</v>
      </c>
    </row>
    <row r="3" spans="1:9" x14ac:dyDescent="0.2">
      <c r="A3" s="3">
        <v>0.3</v>
      </c>
      <c r="B3" s="1">
        <v>200</v>
      </c>
      <c r="C3" s="1"/>
      <c r="D3" s="2"/>
      <c r="E3" s="11" t="s">
        <v>2</v>
      </c>
      <c r="F3" s="11"/>
      <c r="G3" s="11" t="s">
        <v>3</v>
      </c>
      <c r="H3" s="11"/>
      <c r="I3" s="11"/>
    </row>
    <row r="4" spans="1:9" x14ac:dyDescent="0.2">
      <c r="A4" s="1" t="s">
        <v>11</v>
      </c>
      <c r="B4" s="1"/>
      <c r="C4" s="1"/>
      <c r="D4" s="2"/>
      <c r="E4" s="2" t="s">
        <v>7</v>
      </c>
      <c r="F4" s="2" t="s">
        <v>6</v>
      </c>
      <c r="G4" s="1" t="s">
        <v>8</v>
      </c>
      <c r="H4" s="2" t="s">
        <v>7</v>
      </c>
      <c r="I4" s="2" t="s">
        <v>6</v>
      </c>
    </row>
    <row r="5" spans="1:9" x14ac:dyDescent="0.2">
      <c r="A5" s="1">
        <v>65310</v>
      </c>
      <c r="B5" s="1"/>
      <c r="C5" s="1"/>
      <c r="D5" s="2">
        <v>1</v>
      </c>
      <c r="E5" s="2">
        <v>26.22</v>
      </c>
      <c r="F5" s="2">
        <v>69.14</v>
      </c>
      <c r="G5" s="2">
        <v>4</v>
      </c>
      <c r="H5" s="2">
        <v>13.09</v>
      </c>
      <c r="I5" s="2">
        <v>138.43</v>
      </c>
    </row>
    <row r="6" spans="1:9" x14ac:dyDescent="0.2">
      <c r="A6" s="1"/>
      <c r="B6" s="1"/>
      <c r="C6" s="1"/>
      <c r="D6" s="2">
        <v>2</v>
      </c>
      <c r="E6" s="2">
        <v>29.21</v>
      </c>
      <c r="F6" s="2">
        <v>62.07</v>
      </c>
      <c r="G6" s="2">
        <v>4</v>
      </c>
      <c r="H6" s="2">
        <v>18.12</v>
      </c>
      <c r="I6" s="2">
        <v>100.16</v>
      </c>
    </row>
    <row r="7" spans="1:9" x14ac:dyDescent="0.2">
      <c r="D7" s="2">
        <v>3</v>
      </c>
      <c r="E7" s="2">
        <v>28.36</v>
      </c>
      <c r="F7" s="2">
        <v>63.92</v>
      </c>
      <c r="G7" s="2">
        <v>8</v>
      </c>
      <c r="H7" s="2">
        <v>16.12</v>
      </c>
      <c r="I7" s="2">
        <v>112.55</v>
      </c>
    </row>
    <row r="8" spans="1:9" x14ac:dyDescent="0.2">
      <c r="D8" s="2">
        <v>4</v>
      </c>
      <c r="E8" s="2">
        <v>30.41</v>
      </c>
      <c r="F8" s="2">
        <v>59.61</v>
      </c>
      <c r="G8" s="2">
        <v>8</v>
      </c>
      <c r="H8" s="2">
        <v>15.11</v>
      </c>
      <c r="I8" s="2">
        <v>119.95</v>
      </c>
    </row>
    <row r="9" spans="1:9" x14ac:dyDescent="0.2">
      <c r="D9" s="2">
        <v>5</v>
      </c>
      <c r="E9" s="2">
        <v>31.56</v>
      </c>
      <c r="F9" s="2">
        <v>57.44</v>
      </c>
      <c r="G9" s="2">
        <v>12</v>
      </c>
      <c r="H9" s="2">
        <v>14.13</v>
      </c>
      <c r="I9" s="2">
        <v>128.26</v>
      </c>
    </row>
    <row r="10" spans="1:9" x14ac:dyDescent="0.2">
      <c r="D10" s="2">
        <v>6</v>
      </c>
      <c r="E10" s="2">
        <v>28.02</v>
      </c>
      <c r="F10" s="2">
        <v>64.75</v>
      </c>
      <c r="G10" s="2">
        <v>12</v>
      </c>
      <c r="H10" s="2">
        <v>15.18</v>
      </c>
      <c r="I10" s="2">
        <v>119.37</v>
      </c>
    </row>
    <row r="11" spans="1:9" x14ac:dyDescent="0.2">
      <c r="D11" s="2" t="s">
        <v>9</v>
      </c>
      <c r="E11" s="2">
        <v>28.96</v>
      </c>
      <c r="F11" s="2">
        <v>62.82</v>
      </c>
      <c r="G11" s="2"/>
      <c r="H11" s="2">
        <v>15.29</v>
      </c>
      <c r="I11" s="2">
        <v>119.78</v>
      </c>
    </row>
    <row r="12" spans="1:9" x14ac:dyDescent="0.2">
      <c r="D12" s="1" t="s">
        <v>4</v>
      </c>
      <c r="E12" s="1"/>
      <c r="F12" s="1" t="s">
        <v>5</v>
      </c>
      <c r="G12" s="1"/>
      <c r="H12" s="1"/>
      <c r="I12" s="1"/>
    </row>
    <row r="13" spans="1:9" x14ac:dyDescent="0.2">
      <c r="D13" s="1" t="s">
        <v>4</v>
      </c>
      <c r="E13" s="1"/>
      <c r="F13" s="1"/>
      <c r="G13" s="1"/>
      <c r="H13" s="1"/>
      <c r="I13" s="1"/>
    </row>
    <row r="14" spans="1:9" x14ac:dyDescent="0.2">
      <c r="D14" s="1" t="s">
        <v>4</v>
      </c>
      <c r="E14" s="1"/>
      <c r="F14" s="1"/>
      <c r="G14" s="1"/>
      <c r="H14" s="1"/>
      <c r="I14" s="1"/>
    </row>
    <row r="15" spans="1:9" x14ac:dyDescent="0.2">
      <c r="D15" s="1" t="s">
        <v>4</v>
      </c>
      <c r="E15" s="1"/>
      <c r="F15" s="1"/>
      <c r="G15" s="1"/>
      <c r="H15" s="1"/>
      <c r="I15" s="1"/>
    </row>
  </sheetData>
  <mergeCells count="2">
    <mergeCell ref="E3:F3"/>
    <mergeCell ref="G3:I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881B-B605-4FE0-8A55-1DDE78BDCB94}">
  <dimension ref="A1:F34"/>
  <sheetViews>
    <sheetView tabSelected="1" topLeftCell="A2" zoomScale="145" zoomScaleNormal="145" workbookViewId="0">
      <selection activeCell="E17" sqref="E17"/>
    </sheetView>
  </sheetViews>
  <sheetFormatPr defaultRowHeight="14.25" x14ac:dyDescent="0.2"/>
  <cols>
    <col min="1" max="1" width="9" style="1"/>
    <col min="2" max="2" width="7.375" style="1" customWidth="1"/>
    <col min="3" max="3" width="14.625" style="1" customWidth="1"/>
    <col min="4" max="4" width="21.25" style="1" customWidth="1"/>
    <col min="5" max="5" width="15.5" style="1" customWidth="1"/>
    <col min="6" max="6" width="20.125" style="1" customWidth="1"/>
    <col min="7" max="7" width="18.125" style="1" customWidth="1"/>
    <col min="8" max="16384" width="9" style="1"/>
  </cols>
  <sheetData>
    <row r="1" spans="1:6" x14ac:dyDescent="0.2">
      <c r="A1" s="1" t="s">
        <v>16</v>
      </c>
    </row>
    <row r="2" spans="1:6" x14ac:dyDescent="0.2">
      <c r="A2" s="6" t="s">
        <v>13</v>
      </c>
    </row>
    <row r="3" spans="1:6" x14ac:dyDescent="0.2">
      <c r="C3" s="11" t="s">
        <v>15</v>
      </c>
      <c r="D3" s="11"/>
      <c r="E3" s="11" t="s">
        <v>14</v>
      </c>
      <c r="F3" s="11"/>
    </row>
    <row r="4" spans="1:6" x14ac:dyDescent="0.2">
      <c r="C4" s="2" t="s">
        <v>7</v>
      </c>
      <c r="D4" s="2" t="s">
        <v>6</v>
      </c>
      <c r="E4" s="2" t="s">
        <v>7</v>
      </c>
      <c r="F4" s="2" t="s">
        <v>6</v>
      </c>
    </row>
    <row r="5" spans="1:6" x14ac:dyDescent="0.2">
      <c r="B5" s="1">
        <v>20</v>
      </c>
      <c r="C5" s="1">
        <v>13.031460000000001</v>
      </c>
      <c r="D5" s="1">
        <v>120.9825</v>
      </c>
      <c r="E5" s="1">
        <v>14.575799999999999</v>
      </c>
      <c r="F5" s="1">
        <v>97.548275862068976</v>
      </c>
    </row>
    <row r="6" spans="1:6" x14ac:dyDescent="0.2">
      <c r="B6" s="1">
        <v>30</v>
      </c>
      <c r="C6" s="1">
        <v>11.33028</v>
      </c>
      <c r="D6" s="1">
        <v>139.14666666666668</v>
      </c>
      <c r="E6" s="1">
        <v>15.1623</v>
      </c>
      <c r="F6" s="1">
        <v>93.775000000000006</v>
      </c>
    </row>
    <row r="7" spans="1:6" x14ac:dyDescent="0.2">
      <c r="B7" s="1">
        <v>40</v>
      </c>
      <c r="C7" s="1">
        <v>10.848240000000001</v>
      </c>
      <c r="D7" s="1">
        <v>145.32999999999998</v>
      </c>
      <c r="E7" s="1">
        <v>22.674599999999998</v>
      </c>
      <c r="F7" s="1">
        <v>62.051724137931039</v>
      </c>
    </row>
    <row r="8" spans="1:6" x14ac:dyDescent="0.2">
      <c r="C8" s="1">
        <v>9.1798199999999994</v>
      </c>
      <c r="D8" s="1">
        <v>171.74333333333334</v>
      </c>
      <c r="E8" s="1">
        <v>22.705199999999998</v>
      </c>
      <c r="F8" s="1">
        <v>62.594827586206904</v>
      </c>
    </row>
    <row r="9" spans="1:6" x14ac:dyDescent="0.2">
      <c r="C9" s="1">
        <v>8.4813299999999998</v>
      </c>
      <c r="D9" s="1">
        <v>185.88750000000002</v>
      </c>
      <c r="E9" s="1">
        <v>24.826799999999999</v>
      </c>
      <c r="F9" s="1">
        <v>57.25</v>
      </c>
    </row>
    <row r="10" spans="1:6" x14ac:dyDescent="0.2">
      <c r="C10" s="1">
        <v>10.82718</v>
      </c>
      <c r="D10" s="1">
        <v>145.61250000000001</v>
      </c>
      <c r="E10" s="1">
        <v>22.491</v>
      </c>
      <c r="F10" s="1">
        <v>62.646551724137936</v>
      </c>
    </row>
    <row r="11" spans="1:6" x14ac:dyDescent="0.2">
      <c r="C11" s="2"/>
      <c r="D11" s="2"/>
      <c r="E11" s="2"/>
      <c r="F11" s="2"/>
    </row>
    <row r="14" spans="1:6" x14ac:dyDescent="0.2">
      <c r="A14" s="1">
        <f>C5*0.9</f>
        <v>11.728314000000001</v>
      </c>
      <c r="B14" s="1">
        <f>E5*0.85</f>
        <v>12.389429999999999</v>
      </c>
    </row>
    <row r="15" spans="1:6" x14ac:dyDescent="0.2">
      <c r="A15" s="1">
        <f t="shared" ref="A15:A24" si="0">C6*0.9</f>
        <v>10.197252000000001</v>
      </c>
      <c r="B15" s="1">
        <f t="shared" ref="B15:B22" si="1">E6*0.85</f>
        <v>12.887955</v>
      </c>
    </row>
    <row r="16" spans="1:6" x14ac:dyDescent="0.2">
      <c r="A16" s="1">
        <f t="shared" si="0"/>
        <v>9.7634160000000012</v>
      </c>
      <c r="B16" s="1">
        <f t="shared" si="1"/>
        <v>19.273409999999998</v>
      </c>
    </row>
    <row r="17" spans="1:6" x14ac:dyDescent="0.2">
      <c r="A17" s="1">
        <f t="shared" si="0"/>
        <v>8.2618379999999991</v>
      </c>
      <c r="B17" s="1">
        <f t="shared" si="1"/>
        <v>19.299419999999998</v>
      </c>
    </row>
    <row r="18" spans="1:6" x14ac:dyDescent="0.2">
      <c r="A18" s="1">
        <f t="shared" si="0"/>
        <v>7.633197</v>
      </c>
      <c r="B18" s="1">
        <f t="shared" si="1"/>
        <v>21.102779999999999</v>
      </c>
      <c r="C18" s="1">
        <f>E5*1.2</f>
        <v>17.490959999999998</v>
      </c>
      <c r="D18" s="1">
        <f>F5/1.16</f>
        <v>84.093341260404301</v>
      </c>
    </row>
    <row r="19" spans="1:6" x14ac:dyDescent="0.2">
      <c r="A19" s="1">
        <f t="shared" si="0"/>
        <v>9.7444620000000004</v>
      </c>
      <c r="B19" s="1">
        <f t="shared" si="1"/>
        <v>19.117349999999998</v>
      </c>
      <c r="C19" s="1">
        <f t="shared" ref="C19:C34" si="2">E6*1.2</f>
        <v>18.194759999999999</v>
      </c>
      <c r="D19" s="1">
        <f t="shared" ref="D19:D29" si="3">F6/1.16</f>
        <v>80.840517241379317</v>
      </c>
    </row>
    <row r="20" spans="1:6" x14ac:dyDescent="0.2">
      <c r="A20" s="1">
        <f t="shared" si="0"/>
        <v>0</v>
      </c>
      <c r="B20" s="1">
        <f t="shared" si="1"/>
        <v>0</v>
      </c>
      <c r="C20" s="1">
        <f t="shared" si="2"/>
        <v>27.209519999999998</v>
      </c>
      <c r="D20" s="1">
        <f t="shared" si="3"/>
        <v>53.492865636147449</v>
      </c>
    </row>
    <row r="21" spans="1:6" x14ac:dyDescent="0.2">
      <c r="A21" s="1">
        <f t="shared" si="0"/>
        <v>0</v>
      </c>
      <c r="B21" s="1">
        <f t="shared" si="1"/>
        <v>0</v>
      </c>
      <c r="C21" s="1">
        <f t="shared" si="2"/>
        <v>27.246239999999997</v>
      </c>
      <c r="D21" s="1">
        <f t="shared" si="3"/>
        <v>53.961058263971474</v>
      </c>
    </row>
    <row r="22" spans="1:6" x14ac:dyDescent="0.2">
      <c r="A22" s="1">
        <f t="shared" si="0"/>
        <v>0</v>
      </c>
      <c r="B22" s="1">
        <f t="shared" si="1"/>
        <v>0</v>
      </c>
      <c r="C22" s="1">
        <f t="shared" si="2"/>
        <v>29.792159999999996</v>
      </c>
      <c r="D22" s="1">
        <f t="shared" si="3"/>
        <v>49.353448275862071</v>
      </c>
    </row>
    <row r="23" spans="1:6" x14ac:dyDescent="0.2">
      <c r="A23" s="1">
        <f t="shared" si="0"/>
        <v>0</v>
      </c>
      <c r="C23" s="1">
        <f t="shared" si="2"/>
        <v>26.9892</v>
      </c>
      <c r="D23" s="1">
        <f t="shared" si="3"/>
        <v>54.005648038049948</v>
      </c>
    </row>
    <row r="24" spans="1:6" x14ac:dyDescent="0.2">
      <c r="A24" s="1">
        <f t="shared" si="0"/>
        <v>0</v>
      </c>
      <c r="C24" s="1">
        <f t="shared" si="2"/>
        <v>0</v>
      </c>
      <c r="D24" s="1">
        <f t="shared" si="3"/>
        <v>0</v>
      </c>
    </row>
    <row r="25" spans="1:6" x14ac:dyDescent="0.2">
      <c r="C25" s="1">
        <f t="shared" si="2"/>
        <v>0</v>
      </c>
      <c r="D25" s="1">
        <f t="shared" si="3"/>
        <v>0</v>
      </c>
    </row>
    <row r="26" spans="1:6" x14ac:dyDescent="0.2">
      <c r="C26" s="1">
        <f t="shared" si="2"/>
        <v>0</v>
      </c>
      <c r="D26" s="1">
        <f t="shared" si="3"/>
        <v>0</v>
      </c>
      <c r="E26" s="1">
        <v>17.148</v>
      </c>
      <c r="F26" s="1">
        <v>97.548275862068976</v>
      </c>
    </row>
    <row r="27" spans="1:6" x14ac:dyDescent="0.2">
      <c r="C27" s="1">
        <f t="shared" si="2"/>
        <v>0</v>
      </c>
      <c r="D27" s="1">
        <f t="shared" si="3"/>
        <v>0</v>
      </c>
      <c r="E27" s="1">
        <v>17.838000000000001</v>
      </c>
      <c r="F27" s="1">
        <v>93.775000000000006</v>
      </c>
    </row>
    <row r="28" spans="1:6" x14ac:dyDescent="0.2">
      <c r="C28" s="1">
        <f t="shared" si="2"/>
        <v>0</v>
      </c>
      <c r="D28" s="1">
        <f t="shared" si="3"/>
        <v>0</v>
      </c>
      <c r="E28" s="1">
        <v>26.675999999999998</v>
      </c>
      <c r="F28" s="1">
        <v>62.051724137931039</v>
      </c>
    </row>
    <row r="29" spans="1:6" x14ac:dyDescent="0.2">
      <c r="C29" s="1">
        <f t="shared" si="2"/>
        <v>0</v>
      </c>
      <c r="D29" s="1">
        <f t="shared" si="3"/>
        <v>0</v>
      </c>
      <c r="E29" s="1">
        <v>26.712</v>
      </c>
      <c r="F29" s="1">
        <v>62.594827586206904</v>
      </c>
    </row>
    <row r="30" spans="1:6" x14ac:dyDescent="0.2">
      <c r="C30" s="1">
        <f t="shared" si="2"/>
        <v>0</v>
      </c>
      <c r="E30" s="1">
        <v>29.207999999999998</v>
      </c>
      <c r="F30" s="1">
        <v>57.25</v>
      </c>
    </row>
    <row r="31" spans="1:6" x14ac:dyDescent="0.2">
      <c r="C31" s="1">
        <f t="shared" si="2"/>
        <v>0</v>
      </c>
      <c r="E31" s="1">
        <v>26.46</v>
      </c>
      <c r="F31" s="1">
        <v>62.646551724137936</v>
      </c>
    </row>
    <row r="32" spans="1:6" x14ac:dyDescent="0.2">
      <c r="C32" s="1">
        <f t="shared" si="2"/>
        <v>0</v>
      </c>
    </row>
    <row r="33" spans="3:3" x14ac:dyDescent="0.2">
      <c r="C33" s="1">
        <f t="shared" si="2"/>
        <v>0</v>
      </c>
    </row>
    <row r="34" spans="3:3" x14ac:dyDescent="0.2">
      <c r="C34" s="1">
        <f t="shared" si="2"/>
        <v>0</v>
      </c>
    </row>
  </sheetData>
  <mergeCells count="2">
    <mergeCell ref="E3:F3"/>
    <mergeCell ref="C3:D3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0950-5700-4EA1-B77D-9B548907B300}">
  <dimension ref="A1:F11"/>
  <sheetViews>
    <sheetView topLeftCell="L1" zoomScale="130" zoomScaleNormal="130" workbookViewId="0">
      <selection activeCell="D4" sqref="D4"/>
    </sheetView>
  </sheetViews>
  <sheetFormatPr defaultRowHeight="14.25" x14ac:dyDescent="0.2"/>
  <cols>
    <col min="1" max="1" width="9" style="1"/>
    <col min="2" max="2" width="7.375" style="1" customWidth="1"/>
    <col min="3" max="3" width="14.625" style="1" customWidth="1"/>
    <col min="4" max="4" width="21.25" style="1" customWidth="1"/>
    <col min="5" max="5" width="15.5" style="1" customWidth="1"/>
    <col min="6" max="6" width="20.125" style="1" customWidth="1"/>
    <col min="7" max="7" width="18.125" style="1" customWidth="1"/>
    <col min="8" max="16384" width="9" style="1"/>
  </cols>
  <sheetData>
    <row r="1" spans="1:6" x14ac:dyDescent="0.2">
      <c r="A1" s="1" t="s">
        <v>16</v>
      </c>
    </row>
    <row r="2" spans="1:6" x14ac:dyDescent="0.2">
      <c r="A2" s="6" t="s">
        <v>13</v>
      </c>
    </row>
    <row r="3" spans="1:6" x14ac:dyDescent="0.2">
      <c r="C3" s="11" t="s">
        <v>15</v>
      </c>
      <c r="D3" s="11"/>
      <c r="E3" s="11" t="s">
        <v>14</v>
      </c>
      <c r="F3" s="11"/>
    </row>
    <row r="4" spans="1:6" x14ac:dyDescent="0.2">
      <c r="C4" s="9" t="s">
        <v>7</v>
      </c>
      <c r="D4" s="9" t="s">
        <v>6</v>
      </c>
      <c r="E4" s="9" t="s">
        <v>7</v>
      </c>
      <c r="F4" s="9" t="s">
        <v>6</v>
      </c>
    </row>
    <row r="5" spans="1:6" x14ac:dyDescent="0.2">
      <c r="B5" s="1">
        <v>20</v>
      </c>
      <c r="C5" s="9">
        <v>11.138</v>
      </c>
      <c r="D5" s="9">
        <v>145.179</v>
      </c>
      <c r="E5" s="9">
        <v>14.29</v>
      </c>
      <c r="F5" s="9">
        <v>113.15600000000001</v>
      </c>
    </row>
    <row r="6" spans="1:6" x14ac:dyDescent="0.2">
      <c r="B6" s="1">
        <v>30</v>
      </c>
      <c r="C6" s="9">
        <v>9.6839999999999993</v>
      </c>
      <c r="D6" s="9">
        <v>166.976</v>
      </c>
      <c r="E6" s="9">
        <v>14.865</v>
      </c>
      <c r="F6" s="9">
        <v>108.779</v>
      </c>
    </row>
    <row r="7" spans="1:6" x14ac:dyDescent="0.2">
      <c r="B7" s="1">
        <v>40</v>
      </c>
      <c r="C7" s="9">
        <v>9.2720000000000002</v>
      </c>
      <c r="D7" s="9">
        <v>174.39599999999999</v>
      </c>
      <c r="E7" s="9">
        <v>22.23</v>
      </c>
      <c r="F7" s="9">
        <v>71.98</v>
      </c>
    </row>
    <row r="8" spans="1:6" x14ac:dyDescent="0.2">
      <c r="C8" s="9">
        <v>7.8460000000000001</v>
      </c>
      <c r="D8" s="9">
        <v>206.09200000000001</v>
      </c>
      <c r="E8" s="9">
        <v>22.26</v>
      </c>
      <c r="F8" s="9">
        <v>72.61</v>
      </c>
    </row>
    <row r="9" spans="1:6" x14ac:dyDescent="0.2">
      <c r="C9" s="9">
        <v>7.2489999999999997</v>
      </c>
      <c r="D9" s="9">
        <v>223.065</v>
      </c>
      <c r="E9" s="9">
        <v>24.34</v>
      </c>
      <c r="F9" s="9">
        <v>66.41</v>
      </c>
    </row>
    <row r="10" spans="1:6" x14ac:dyDescent="0.2">
      <c r="C10" s="9">
        <v>9.2539999999999996</v>
      </c>
      <c r="D10" s="9">
        <v>174.73500000000001</v>
      </c>
      <c r="E10" s="9">
        <v>22.05</v>
      </c>
      <c r="F10" s="9">
        <v>72.67</v>
      </c>
    </row>
    <row r="11" spans="1:6" x14ac:dyDescent="0.2">
      <c r="C11" s="9"/>
      <c r="D11" s="9"/>
      <c r="E11" s="9"/>
      <c r="F11" s="9"/>
    </row>
  </sheetData>
  <mergeCells count="2">
    <mergeCell ref="C3:D3"/>
    <mergeCell ref="E3:F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Sheet2 (5)</vt:lpstr>
      <vt:lpstr>Sheet2 (4)</vt:lpstr>
      <vt:lpstr>Sheet2 (3)</vt:lpstr>
      <vt:lpstr>Sheet2 (2)</vt:lpstr>
      <vt:lpstr>Sheet2</vt:lpstr>
      <vt:lpstr>001 (4)</vt:lpstr>
      <vt:lpstr>001 (2)</vt:lpstr>
      <vt:lpstr>001 (3)</vt:lpstr>
      <vt:lpstr>001</vt:lpstr>
      <vt:lpstr>Sheet3</vt:lpstr>
      <vt:lpstr>Sheet3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公能日新</dc:creator>
  <cp:lastModifiedBy>公能日新</cp:lastModifiedBy>
  <dcterms:created xsi:type="dcterms:W3CDTF">2020-12-25T09:29:40Z</dcterms:created>
  <dcterms:modified xsi:type="dcterms:W3CDTF">2020-12-25T02:16:00Z</dcterms:modified>
</cp:coreProperties>
</file>